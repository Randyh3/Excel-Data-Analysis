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Juvi\Documents\"/>
    </mc:Choice>
  </mc:AlternateContent>
  <xr:revisionPtr revIDLastSave="0" documentId="13_ncr:1_{398A8DCA-5FA8-4CC8-92A6-C45F321B5F07}" xr6:coauthVersionLast="47" xr6:coauthVersionMax="47" xr10:uidLastSave="{00000000-0000-0000-0000-000000000000}"/>
  <bookViews>
    <workbookView xWindow="-120" yWindow="-120" windowWidth="29040" windowHeight="15720" activeTab="2" xr2:uid="{D9AE5E84-23CB-49F4-81C9-BCA050B48C91}"/>
  </bookViews>
  <sheets>
    <sheet name="Estimated Take Home  - Aug 31" sheetId="1" r:id="rId1"/>
    <sheet name="Estimated Take Home - Sept 7" sheetId="4" r:id="rId2"/>
    <sheet name="Budgeting Paycheck - Sept 18" sheetId="5" r:id="rId3"/>
  </sheets>
  <definedNames>
    <definedName name="Slicer_Saving_Categories">#N/A</definedName>
  </definedNames>
  <calcPr calcId="191029"/>
  <pivotCaches>
    <pivotCache cacheId="3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30" i="5" l="1"/>
  <c r="C19" i="5"/>
  <c r="C20" i="5"/>
  <c r="C18" i="5"/>
  <c r="D7" i="5"/>
  <c r="D10" i="5" s="1"/>
  <c r="H10" i="4"/>
  <c r="H9" i="4"/>
  <c r="H8" i="4"/>
  <c r="H7" i="4"/>
  <c r="H6" i="4"/>
  <c r="H5" i="4"/>
  <c r="H4" i="4"/>
  <c r="H5" i="1"/>
  <c r="H6" i="1"/>
  <c r="H7" i="1"/>
  <c r="H8" i="1"/>
  <c r="H9" i="1"/>
  <c r="H10" i="1"/>
  <c r="H4" i="1"/>
  <c r="H11" i="4" l="1"/>
  <c r="H13" i="4" s="1"/>
  <c r="H16" i="4" s="1"/>
  <c r="H11" i="1"/>
  <c r="H13" i="1" s="1"/>
  <c r="H17" i="4" l="1"/>
  <c r="H18" i="4"/>
  <c r="H14" i="4"/>
  <c r="H15" i="4"/>
  <c r="H15" i="1"/>
  <c r="H17" i="1"/>
  <c r="H14" i="1"/>
  <c r="H16" i="1"/>
  <c r="H18" i="1"/>
  <c r="H19" i="4" l="1"/>
  <c r="H20" i="4" s="1"/>
  <c r="H21" i="4" s="1"/>
  <c r="D9" i="5" s="1"/>
  <c r="H19" i="1"/>
  <c r="H20" i="1" s="1"/>
  <c r="D18" i="5" l="1"/>
  <c r="D11" i="5"/>
  <c r="D13" i="5" s="1"/>
  <c r="D16" i="5" l="1"/>
  <c r="D20" i="5" s="1"/>
  <c r="D15" i="5"/>
  <c r="D19" i="5" s="1"/>
  <c r="E24" i="5" l="1"/>
  <c r="E25" i="5"/>
  <c r="E23" i="5"/>
  <c r="E28" i="5"/>
  <c r="E29" i="5"/>
  <c r="E27" i="5"/>
  <c r="E26" i="5"/>
  <c r="E30" i="5" l="1"/>
</calcChain>
</file>

<file path=xl/sharedStrings.xml><?xml version="1.0" encoding="utf-8"?>
<sst xmlns="http://schemas.openxmlformats.org/spreadsheetml/2006/main" count="85" uniqueCount="53">
  <si>
    <t>Monday</t>
  </si>
  <si>
    <t>Day of Week</t>
  </si>
  <si>
    <t>Tuesday</t>
  </si>
  <si>
    <t>Wednesday</t>
  </si>
  <si>
    <t>Thursday</t>
  </si>
  <si>
    <t>Friday</t>
  </si>
  <si>
    <t>Saturday</t>
  </si>
  <si>
    <t>Sunday</t>
  </si>
  <si>
    <t>Date</t>
  </si>
  <si>
    <t>Clock In Time</t>
  </si>
  <si>
    <t>Lunch Out</t>
  </si>
  <si>
    <t xml:space="preserve">Lunch In </t>
  </si>
  <si>
    <t>Clock Out Time</t>
  </si>
  <si>
    <t>Hours Worked</t>
  </si>
  <si>
    <t>Total Hours Worked</t>
  </si>
  <si>
    <t>Wage Rate</t>
  </si>
  <si>
    <t>Gross Pay ($)</t>
  </si>
  <si>
    <t>Social Security Tax</t>
  </si>
  <si>
    <t>Medicare Tax</t>
  </si>
  <si>
    <t>Estimated Pay After Taxes ($)</t>
  </si>
  <si>
    <t>Federal Income Tax</t>
  </si>
  <si>
    <t>CA State Income Tax</t>
  </si>
  <si>
    <t>CA SDI Tax</t>
  </si>
  <si>
    <t>Estimated Tax ($)</t>
  </si>
  <si>
    <t>Estimated Pay for Paycheck</t>
  </si>
  <si>
    <t>Monthly Expenses</t>
  </si>
  <si>
    <t>Gas</t>
  </si>
  <si>
    <t>Estimated Costs ($)</t>
  </si>
  <si>
    <t>Gym</t>
  </si>
  <si>
    <t>Car Insurance</t>
  </si>
  <si>
    <t>Total Monthly Expense ($)</t>
  </si>
  <si>
    <t>Estimated Pay First Biweekly Check</t>
  </si>
  <si>
    <t>Bi-weekly Expense</t>
  </si>
  <si>
    <t>Fun Money</t>
  </si>
  <si>
    <t>Percentage of Check</t>
  </si>
  <si>
    <t>Remaining Percentage Amount for Budget</t>
  </si>
  <si>
    <t xml:space="preserve">Savings </t>
  </si>
  <si>
    <t xml:space="preserve">Investing </t>
  </si>
  <si>
    <t>Saving Categories</t>
  </si>
  <si>
    <t>E - Fund</t>
  </si>
  <si>
    <t>Car Fund</t>
  </si>
  <si>
    <t>Car Maintenance</t>
  </si>
  <si>
    <t xml:space="preserve">Short Term Goals </t>
  </si>
  <si>
    <t>Long Term Savings</t>
  </si>
  <si>
    <t xml:space="preserve">Travel and Experiences </t>
  </si>
  <si>
    <t>Gifts</t>
  </si>
  <si>
    <t>Total</t>
  </si>
  <si>
    <t>Grand Total</t>
  </si>
  <si>
    <t>Estimated Savings Per Category</t>
  </si>
  <si>
    <t>Percentage Per Category</t>
  </si>
  <si>
    <t>Sum of Estimated Savings Per Category</t>
  </si>
  <si>
    <t>Chart Title</t>
  </si>
  <si>
    <t>Savings Per Category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</si>
</sst>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mmmm\ \-\ dd"/>
  </numFmts>
  <fonts count="5" x14ac:knownFonts="1">
    <font>
      <sz val="11"/>
      <color theme="1"/>
      <name val="Aptos Narrow"/>
      <family val="2"/>
      <scheme val="minor"/>
    </font>
    <font>
      <sz val="11"/>
      <color theme="1"/>
      <name val="Aptos Narrow"/>
      <family val="2"/>
      <scheme val="minor"/>
    </font>
    <font>
      <sz val="11"/>
      <color theme="0"/>
      <name val="Aptos Narrow"/>
      <family val="2"/>
      <scheme val="minor"/>
    </font>
    <font>
      <sz val="8"/>
      <name val="Aptos Narrow"/>
      <family val="2"/>
      <scheme val="minor"/>
    </font>
    <font>
      <sz val="11"/>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2" fillId="2" borderId="0" xfId="0" applyFont="1" applyFill="1"/>
    <xf numFmtId="0" fontId="2" fillId="2" borderId="1" xfId="0" applyFont="1" applyFill="1" applyBorder="1"/>
    <xf numFmtId="0" fontId="4" fillId="0" borderId="1" xfId="0" applyFont="1" applyFill="1" applyBorder="1"/>
    <xf numFmtId="167" fontId="4" fillId="0" borderId="1" xfId="0" applyNumberFormat="1" applyFont="1" applyFill="1" applyBorder="1"/>
    <xf numFmtId="18" fontId="0" fillId="0" borderId="1" xfId="0" applyNumberFormat="1" applyBorder="1"/>
    <xf numFmtId="2" fontId="0" fillId="0" borderId="1" xfId="0" applyNumberFormat="1" applyBorder="1"/>
    <xf numFmtId="0" fontId="0" fillId="0" borderId="1" xfId="0" applyBorder="1"/>
    <xf numFmtId="0" fontId="0" fillId="3" borderId="1" xfId="0" applyFill="1" applyBorder="1"/>
    <xf numFmtId="2" fontId="0" fillId="3" borderId="1" xfId="0" applyNumberFormat="1" applyFill="1" applyBorder="1"/>
    <xf numFmtId="0" fontId="2" fillId="2" borderId="0" xfId="0" applyFont="1" applyFill="1" applyBorder="1"/>
    <xf numFmtId="9" fontId="0" fillId="0" borderId="1" xfId="1" applyFont="1" applyBorder="1"/>
    <xf numFmtId="10" fontId="0" fillId="0" borderId="1" xfId="1" applyNumberFormat="1" applyFont="1" applyBorder="1"/>
    <xf numFmtId="10" fontId="0" fillId="3" borderId="1" xfId="1" applyNumberFormat="1" applyFont="1" applyFill="1" applyBorder="1"/>
    <xf numFmtId="10" fontId="0" fillId="3" borderId="1" xfId="0" applyNumberFormat="1" applyFill="1" applyBorder="1"/>
    <xf numFmtId="9" fontId="0" fillId="0" borderId="1" xfId="1" applyNumberFormat="1" applyFont="1" applyBorder="1"/>
    <xf numFmtId="0" fontId="0" fillId="0" borderId="0" xfId="0" pivotButton="1"/>
    <xf numFmtId="0" fontId="0" fillId="0" borderId="0" xfId="0" applyNumberFormat="1"/>
  </cellXfs>
  <cellStyles count="2">
    <cellStyle name="Normal" xfId="0" builtinId="0"/>
    <cellStyle name="Percent" xfId="1" builtinId="5"/>
  </cellStyles>
  <dxfs count="8">
    <dxf>
      <fill>
        <patternFill>
          <bgColor rgb="FF00B050"/>
        </patternFill>
      </fill>
      <border>
        <left style="thin">
          <color auto="1"/>
        </left>
        <right style="thin">
          <color auto="1"/>
        </right>
        <top style="thin">
          <color auto="1"/>
        </top>
        <bottom style="thin">
          <color auto="1"/>
        </bottom>
        <vertical/>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[Estimated Take Home Pay.xlsx]Budgeting Paycheck - Sept 18!PivotTable3</c:name>
    <c:fmtId val="1"/>
  </c:pivotSource>
  <c:chart>
    <c:title>
      <c:tx>
        <c:strRef>
          <c:f>'Budgeting Paycheck - Sept 18'!$I$1</c:f>
          <c:strCache>
            <c:ptCount val="1"/>
            <c:pt idx="0">
              <c:v>Savings Per Category ($)</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'Budgeting Paycheck - Sept 18'!$I$1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'Budgeting Paycheck - Sept 18'!$I$1</c:f>
              <c:strCache>
                <c:ptCount val="7"/>
                <c:pt idx="0">
                  <c:v>Car Fund</c:v>
                </c:pt>
                <c:pt idx="1">
                  <c:v>Car Maintenance</c:v>
                </c:pt>
                <c:pt idx="2">
                  <c:v>E - Fund</c:v>
                </c:pt>
                <c:pt idx="3">
                  <c:v>Gifts</c:v>
                </c:pt>
                <c:pt idx="4">
                  <c:v>Long Term Savings</c:v>
                </c:pt>
                <c:pt idx="5">
                  <c:v>Short Term Goals </c:v>
                </c:pt>
                <c:pt idx="6">
                  <c:v>Travel and Experiences </c:v>
                </c:pt>
              </c:strCache>
            </c:strRef>
          </c:cat>
          <c:val>
            <c:numRef>
              <c:f>'Budgeting Paycheck - Sept 18'!$I$1</c:f>
              <c:numCache>
                <c:formatCode>General</c:formatCode>
                <c:ptCount val="7"/>
                <c:pt idx="0">
                  <c:v>100.22</c:v>
                </c:pt>
                <c:pt idx="1">
                  <c:v>28.63</c:v>
                </c:pt>
                <c:pt idx="2">
                  <c:v>42.95</c:v>
                </c:pt>
                <c:pt idx="3">
                  <c:v>28.63</c:v>
                </c:pt>
                <c:pt idx="4">
                  <c:v>28.63</c:v>
                </c:pt>
                <c:pt idx="5">
                  <c:v>28.63</c:v>
                </c:pt>
                <c:pt idx="6">
                  <c:v>28.63</c:v>
                </c:pt>
              </c:numCache>
            </c:numRef>
          </c:val>
          <c:extLst>
            <c:ext xmlns:c16="http://schemas.microsoft.com/office/drawing/2014/chart" uri="{C3380CC4-5D6E-409C-BE32-E72D297353CC}">
              <c16:uniqueId val="{00000000-501E-439E-8F57-F0CD6508FE0D}"/>
            </c:ext>
          </c:extLst>
        </c:ser>
        <c:dLbls>
          <c:showLegendKey val="0"/>
          <c:showVal val="0"/>
          <c:showCatName val="0"/>
          <c:showSerName val="0"/>
          <c:showPercent val="0"/>
          <c:showBubbleSize val="0"/>
        </c:dLbls>
        <c:gapWidth val="219"/>
        <c:overlap val="-27"/>
        <c:axId val="1874631728"/>
        <c:axId val="513196112"/>
      </c:barChart>
      <c:catAx>
        <c:axId val="187463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96112"/>
        <c:crosses val="autoZero"/>
        <c:auto val="1"/>
        <c:lblAlgn val="ctr"/>
        <c:lblOffset val="100"/>
        <c:noMultiLvlLbl val="0"/>
      </c:catAx>
      <c:valAx>
        <c:axId val="513196112"/>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63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xdr:row>
      <xdr:rowOff>0</xdr:rowOff>
    </xdr:from>
    <xdr:to>
      <xdr:col>6</xdr:col>
      <xdr:colOff>1219200</xdr:colOff>
      <xdr:row>16</xdr:row>
      <xdr:rowOff>0</xdr:rowOff>
    </xdr:to>
    <mc:AlternateContent xmlns:mc="http://schemas.openxmlformats.org/markup-compatibility/2006">
      <mc:Choice xmlns:a14="http://schemas.microsoft.com/office/drawing/2010/main" Requires="a14">
        <xdr:graphicFrame macro="">
          <xdr:nvGraphicFramePr>
            <xdr:cNvPr id="5" name="Saving Categories">
              <a:extLst>
                <a:ext uri="{FF2B5EF4-FFF2-40B4-BE49-F238E27FC236}">
                  <a16:creationId xmlns:a16="http://schemas.microsoft.com/office/drawing/2014/main" id="{24FD3CD1-5FA7-6052-9528-C4C1338EA15E}"/>
                </a:ext>
              </a:extLst>
            </xdr:cNvPr>
            <xdr:cNvGraphicFramePr/>
          </xdr:nvGraphicFramePr>
          <xdr:xfrm>
            <a:off x="0" y="0"/>
            <a:ext cx="0" cy="0"/>
          </xdr:xfrm>
          <a:graphic>
            <a:graphicData uri="http://schemas.microsoft.com/office/drawing/2010/slicer">
              <sle:slicer xmlns:sle="http://schemas.microsoft.com/office/drawing/2010/slicer" name="Saving Categories"/>
            </a:graphicData>
          </a:graphic>
        </xdr:graphicFrame>
      </mc:Choice>
      <mc:Fallback>
        <xdr:sp macro="" textlink="">
          <xdr:nvSpPr>
            <xdr:cNvPr id="0" name=""/>
            <xdr:cNvSpPr>
              <a:spLocks noTextEdit="1"/>
            </xdr:cNvSpPr>
          </xdr:nvSpPr>
          <xdr:spPr>
            <a:xfrm>
              <a:off x="7610475" y="381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0</xdr:colOff>
      <xdr:row>2</xdr:row>
      <xdr:rowOff>0</xdr:rowOff>
    </xdr:from>
    <xdr:to>
      <xdr:col>13</xdr:col>
      <xdr:colOff>0</xdr:colOff>
      <xdr:row>20</xdr:row>
      <xdr:rowOff>0</xdr:rowOff>
    </xdr:to>
    <xdr:graphicFrame macro="">
      <xdr:nvGraphicFramePr>
        <xdr:cNvPr id="7" name="Chart 6">
          <a:extLst>
            <a:ext uri="{FF2B5EF4-FFF2-40B4-BE49-F238E27FC236}">
              <a16:creationId xmlns:a16="http://schemas.microsoft.com/office/drawing/2014/main" id="{692397A0-EAE3-91FD-53F5-68F161113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vi" refreshedDate="46264.639389004631" createdVersion="8" refreshedVersion="8" minRefreshableVersion="3" recordCount="7" xr:uid="{33D1F8E5-2C12-4C49-903B-F7BCD12E419D}">
  <cacheSource type="worksheet">
    <worksheetSource name="fSavings"/>
  </cacheSource>
  <cacheFields count="3">
    <cacheField name="Saving Categories" numFmtId="0">
      <sharedItems count="7">
        <s v="Car Fund"/>
        <s v="E - Fund"/>
        <s v="Car Maintenance"/>
        <s v="Short Term Goals "/>
        <s v="Long Term Savings"/>
        <s v="Travel and Experiences "/>
        <s v="Gifts"/>
      </sharedItems>
    </cacheField>
    <cacheField name="Percentage Per Category" numFmtId="9">
      <sharedItems containsSemiMixedTypes="0" containsString="0" containsNumber="1" minValue="0.1" maxValue="0.35"/>
    </cacheField>
    <cacheField name="Estimated Savings Per Category" numFmtId="0">
      <sharedItems containsSemiMixedTypes="0" containsString="0" containsNumber="1" minValue="28.63" maxValue="100.22"/>
    </cacheField>
  </cacheFields>
  <extLst>
    <ext xmlns:x14="http://schemas.microsoft.com/office/spreadsheetml/2009/9/main" uri="{725AE2AE-9491-48be-B2B4-4EB974FC3084}">
      <x14:pivotCacheDefinition pivotCacheId="4947391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0.35"/>
    <n v="100.22"/>
  </r>
  <r>
    <x v="1"/>
    <n v="0.15"/>
    <n v="42.95"/>
  </r>
  <r>
    <x v="2"/>
    <n v="0.1"/>
    <n v="28.63"/>
  </r>
  <r>
    <x v="3"/>
    <n v="0.1"/>
    <n v="28.63"/>
  </r>
  <r>
    <x v="4"/>
    <n v="0.1"/>
    <n v="28.63"/>
  </r>
  <r>
    <x v="5"/>
    <n v="0.1"/>
    <n v="28.63"/>
  </r>
  <r>
    <x v="6"/>
    <n v="0.1"/>
    <n v="28.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AE4D60-FBEA-449A-AAF9-5A4E84D4A8F0}" name="PivotTable3"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G22:H30" firstHeaderRow="1" firstDataRow="1" firstDataCol="1"/>
  <pivotFields count="3">
    <pivotField axis="axisRow" compact="0" outline="0" showAll="0">
      <items count="8">
        <item x="0"/>
        <item x="2"/>
        <item x="1"/>
        <item x="6"/>
        <item x="4"/>
        <item x="3"/>
        <item x="5"/>
        <item t="default"/>
      </items>
    </pivotField>
    <pivotField compact="0" numFmtId="9" outline="0" showAll="0"/>
    <pivotField dataField="1" compact="0" outline="0" showAll="0"/>
  </pivotFields>
  <rowFields count="1">
    <field x="0"/>
  </rowFields>
  <rowItems count="8">
    <i>
      <x/>
    </i>
    <i>
      <x v="1"/>
    </i>
    <i>
      <x v="2"/>
    </i>
    <i>
      <x v="3"/>
    </i>
    <i>
      <x v="4"/>
    </i>
    <i>
      <x v="5"/>
    </i>
    <i>
      <x v="6"/>
    </i>
    <i t="grand">
      <x/>
    </i>
  </rowItems>
  <colItems count="1">
    <i/>
  </colItems>
  <dataFields count="1">
    <dataField name="Sum of Estimated Savings Per Category" fld="2" baseField="0" baseItem="0"/>
  </dataFields>
  <conditionalFormats count="1">
    <conditionalFormat type="all" priority="1">
      <pivotAreas count="1">
        <pivotArea type="data" outline="0" collapsedLevelsAreSubtotals="1" fieldPosition="0">
          <references count="2">
            <reference field="4294967294" count="1" selected="0">
              <x v="0"/>
            </reference>
            <reference field="0" count="1" selected="0">
              <x v="0"/>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ving_Categories" xr10:uid="{533911A9-6A98-45E6-A4D9-1E5493ED158E}" sourceName="Saving Categories">
  <pivotTables>
    <pivotTable tabId="5" name="PivotTable3"/>
  </pivotTables>
  <data>
    <tabular pivotCacheId="494739101">
      <items count="7">
        <i x="0" s="1"/>
        <i x="2" s="1"/>
        <i x="1" s="1"/>
        <i x="6" s="1"/>
        <i x="4"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ving Categories" xr10:uid="{B97D45E7-9B08-4D8B-AB82-AACBC0F94D16}" cache="Slicer_Saving_Categories" caption="Saving Categorie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0D3D29-0504-4364-86D2-034AFCEEEA89}" name="fSavings" displayName="fSavings" ref="C22:E29" totalsRowShown="0" headerRowDxfId="2" headerRowBorderDxfId="6" tableBorderDxfId="7" totalsRowBorderDxfId="5">
  <autoFilter ref="C22:E29" xr:uid="{190D3D29-0504-4364-86D2-034AFCEEEA89}"/>
  <sortState xmlns:xlrd2="http://schemas.microsoft.com/office/spreadsheetml/2017/richdata2" ref="C23:E29">
    <sortCondition descending="1" ref="E22:E29"/>
  </sortState>
  <tableColumns count="3">
    <tableColumn id="1" xr3:uid="{A1EF35FC-3280-4A5C-877F-50904FDCE9D4}" name="Saving Categories" dataDxfId="4"/>
    <tableColumn id="2" xr3:uid="{DE9E83A6-D0D8-4178-ADF1-E3C236051C49}" name="Percentage Per Category" dataDxfId="3" dataCellStyle="Percent"/>
    <tableColumn id="3" xr3:uid="{75772793-DE41-4C7B-ABE5-93DF9B753784}" name="Estimated Savings Per Category" dataDxfId="1">
      <calculatedColumnFormula>ROUND(fSavings[[#This Row],[Percentage Per Category]]*$D$19,2)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0857F-5C61-4CD6-B95F-91C2F0684977}">
  <dimension ref="B3:H20"/>
  <sheetViews>
    <sheetView workbookViewId="0">
      <selection activeCell="G21" sqref="G21"/>
    </sheetView>
  </sheetViews>
  <sheetFormatPr defaultRowHeight="15" x14ac:dyDescent="0.25"/>
  <cols>
    <col min="2" max="2" width="14" bestFit="1" customWidth="1"/>
    <col min="3" max="3" width="11.5703125" bestFit="1" customWidth="1"/>
    <col min="4" max="4" width="12.7109375" bestFit="1" customWidth="1"/>
    <col min="5" max="5" width="9.85546875" bestFit="1" customWidth="1"/>
    <col min="6" max="6" width="20.42578125" bestFit="1" customWidth="1"/>
    <col min="7" max="7" width="26.5703125" bestFit="1" customWidth="1"/>
    <col min="8" max="8" width="13.5703125" bestFit="1" customWidth="1"/>
  </cols>
  <sheetData>
    <row r="3" spans="2:8" x14ac:dyDescent="0.25">
      <c r="B3" s="2" t="s">
        <v>8</v>
      </c>
      <c r="C3" s="2" t="s">
        <v>1</v>
      </c>
      <c r="D3" s="2" t="s">
        <v>9</v>
      </c>
      <c r="E3" s="2" t="s">
        <v>10</v>
      </c>
      <c r="F3" s="2" t="s">
        <v>11</v>
      </c>
      <c r="G3" s="2" t="s">
        <v>12</v>
      </c>
      <c r="H3" s="2" t="s">
        <v>13</v>
      </c>
    </row>
    <row r="4" spans="2:8" x14ac:dyDescent="0.25">
      <c r="B4" s="4">
        <v>46265</v>
      </c>
      <c r="C4" s="3" t="s">
        <v>0</v>
      </c>
      <c r="D4" s="5">
        <v>0.54166666666666663</v>
      </c>
      <c r="E4" s="5">
        <v>0.69791666666666663</v>
      </c>
      <c r="F4" s="5">
        <v>0.73958333333333337</v>
      </c>
      <c r="G4" s="5">
        <v>0.89583333333333337</v>
      </c>
      <c r="H4" s="6">
        <f>((G4-F4) +(E4-D4)) * 24</f>
        <v>7.5</v>
      </c>
    </row>
    <row r="5" spans="2:8" x14ac:dyDescent="0.25">
      <c r="B5" s="4">
        <v>46266</v>
      </c>
      <c r="C5" s="3" t="s">
        <v>2</v>
      </c>
      <c r="D5" s="5">
        <v>0.70833333333333337</v>
      </c>
      <c r="E5" s="7"/>
      <c r="F5" s="7"/>
      <c r="G5" s="5">
        <v>0.89583333333333337</v>
      </c>
      <c r="H5" s="6">
        <f t="shared" ref="H5:H10" si="0">((G5-F5) +(E5-D5)) * 24</f>
        <v>4.5</v>
      </c>
    </row>
    <row r="6" spans="2:8" x14ac:dyDescent="0.25">
      <c r="B6" s="4">
        <v>46267</v>
      </c>
      <c r="C6" s="3" t="s">
        <v>3</v>
      </c>
      <c r="D6" s="7"/>
      <c r="E6" s="7"/>
      <c r="F6" s="7"/>
      <c r="G6" s="7"/>
      <c r="H6" s="6">
        <f t="shared" si="0"/>
        <v>0</v>
      </c>
    </row>
    <row r="7" spans="2:8" x14ac:dyDescent="0.25">
      <c r="B7" s="4">
        <v>46268</v>
      </c>
      <c r="C7" s="3" t="s">
        <v>4</v>
      </c>
      <c r="D7" s="5">
        <v>0.70833333333333337</v>
      </c>
      <c r="E7" s="7"/>
      <c r="F7" s="7"/>
      <c r="G7" s="5">
        <v>0.89583333333333337</v>
      </c>
      <c r="H7" s="6">
        <f t="shared" si="0"/>
        <v>4.5</v>
      </c>
    </row>
    <row r="8" spans="2:8" x14ac:dyDescent="0.25">
      <c r="B8" s="4">
        <v>46269</v>
      </c>
      <c r="C8" s="3" t="s">
        <v>5</v>
      </c>
      <c r="D8" s="7"/>
      <c r="E8" s="7"/>
      <c r="F8" s="7"/>
      <c r="G8" s="7"/>
      <c r="H8" s="6">
        <f t="shared" si="0"/>
        <v>0</v>
      </c>
    </row>
    <row r="9" spans="2:8" x14ac:dyDescent="0.25">
      <c r="B9" s="4">
        <v>46270</v>
      </c>
      <c r="C9" s="3" t="s">
        <v>6</v>
      </c>
      <c r="D9" s="5">
        <v>0.625</v>
      </c>
      <c r="E9" s="5">
        <v>0.79166666666666663</v>
      </c>
      <c r="F9" s="5">
        <v>0.8125</v>
      </c>
      <c r="G9" s="5">
        <v>0.89583333333333337</v>
      </c>
      <c r="H9" s="6">
        <f t="shared" si="0"/>
        <v>6</v>
      </c>
    </row>
    <row r="10" spans="2:8" x14ac:dyDescent="0.25">
      <c r="B10" s="4">
        <v>46271</v>
      </c>
      <c r="C10" s="3" t="s">
        <v>7</v>
      </c>
      <c r="D10" s="5">
        <v>0.39583333333333331</v>
      </c>
      <c r="E10" s="5"/>
      <c r="F10" s="5"/>
      <c r="G10" s="5">
        <v>0.60416666666666663</v>
      </c>
      <c r="H10" s="6">
        <f t="shared" si="0"/>
        <v>5</v>
      </c>
    </row>
    <row r="11" spans="2:8" x14ac:dyDescent="0.25">
      <c r="G11" s="2" t="s">
        <v>14</v>
      </c>
      <c r="H11" s="9">
        <f>SUM(H4:H10)</f>
        <v>27.5</v>
      </c>
    </row>
    <row r="12" spans="2:8" x14ac:dyDescent="0.25">
      <c r="G12" s="2" t="s">
        <v>15</v>
      </c>
      <c r="H12" s="7">
        <v>18.59</v>
      </c>
    </row>
    <row r="13" spans="2:8" x14ac:dyDescent="0.25">
      <c r="G13" s="2" t="s">
        <v>16</v>
      </c>
      <c r="H13" s="8">
        <f>ROUND(H11*H12,2)</f>
        <v>511.23</v>
      </c>
    </row>
    <row r="14" spans="2:8" x14ac:dyDescent="0.25">
      <c r="F14" s="2" t="s">
        <v>20</v>
      </c>
      <c r="G14" s="12">
        <v>3.6999999999999998E-2</v>
      </c>
      <c r="H14" s="8">
        <f>ROUND($H$13*G14,2)</f>
        <v>18.920000000000002</v>
      </c>
    </row>
    <row r="15" spans="2:8" x14ac:dyDescent="0.25">
      <c r="F15" s="2" t="s">
        <v>17</v>
      </c>
      <c r="G15" s="12">
        <v>6.2E-2</v>
      </c>
      <c r="H15" s="8">
        <f t="shared" ref="H15:H18" si="1">ROUND($H$13*G15,2)</f>
        <v>31.7</v>
      </c>
    </row>
    <row r="16" spans="2:8" x14ac:dyDescent="0.25">
      <c r="F16" s="2" t="s">
        <v>18</v>
      </c>
      <c r="G16" s="12">
        <v>1.4500000000000001E-2</v>
      </c>
      <c r="H16" s="8">
        <f t="shared" si="1"/>
        <v>7.41</v>
      </c>
    </row>
    <row r="17" spans="6:8" x14ac:dyDescent="0.25">
      <c r="F17" s="10" t="s">
        <v>21</v>
      </c>
      <c r="G17" s="12">
        <v>6.0000000000000001E-3</v>
      </c>
      <c r="H17" s="8">
        <f t="shared" si="1"/>
        <v>3.07</v>
      </c>
    </row>
    <row r="18" spans="6:8" x14ac:dyDescent="0.25">
      <c r="F18" s="10" t="s">
        <v>22</v>
      </c>
      <c r="G18" s="12">
        <v>1.2999999999999999E-2</v>
      </c>
      <c r="H18" s="8">
        <f t="shared" si="1"/>
        <v>6.65</v>
      </c>
    </row>
    <row r="19" spans="6:8" x14ac:dyDescent="0.25">
      <c r="G19" s="2" t="s">
        <v>23</v>
      </c>
      <c r="H19" s="8">
        <f>SUM(H14:H18)</f>
        <v>67.75</v>
      </c>
    </row>
    <row r="20" spans="6:8" x14ac:dyDescent="0.25">
      <c r="G20" s="2" t="s">
        <v>19</v>
      </c>
      <c r="H20" s="8">
        <f>H13-H19</f>
        <v>443.48</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BC0EC-4096-4702-9AA5-13E24907B1D1}">
  <dimension ref="B3:H21"/>
  <sheetViews>
    <sheetView workbookViewId="0">
      <selection activeCell="F11" sqref="F11"/>
    </sheetView>
  </sheetViews>
  <sheetFormatPr defaultRowHeight="15" x14ac:dyDescent="0.25"/>
  <cols>
    <col min="2" max="2" width="14" bestFit="1" customWidth="1"/>
    <col min="3" max="3" width="11.5703125" bestFit="1" customWidth="1"/>
    <col min="4" max="4" width="12.7109375" bestFit="1" customWidth="1"/>
    <col min="5" max="5" width="9.85546875" bestFit="1" customWidth="1"/>
    <col min="6" max="6" width="20.42578125" bestFit="1" customWidth="1"/>
    <col min="7" max="7" width="26.5703125" bestFit="1" customWidth="1"/>
    <col min="8" max="8" width="13.5703125" bestFit="1" customWidth="1"/>
  </cols>
  <sheetData>
    <row r="3" spans="2:8" x14ac:dyDescent="0.25">
      <c r="B3" s="2" t="s">
        <v>8</v>
      </c>
      <c r="C3" s="2" t="s">
        <v>1</v>
      </c>
      <c r="D3" s="2" t="s">
        <v>9</v>
      </c>
      <c r="E3" s="2" t="s">
        <v>10</v>
      </c>
      <c r="F3" s="2" t="s">
        <v>11</v>
      </c>
      <c r="G3" s="2" t="s">
        <v>12</v>
      </c>
      <c r="H3" s="2" t="s">
        <v>13</v>
      </c>
    </row>
    <row r="4" spans="2:8" x14ac:dyDescent="0.25">
      <c r="B4" s="4">
        <v>46272</v>
      </c>
      <c r="C4" s="3" t="s">
        <v>0</v>
      </c>
      <c r="D4" s="5"/>
      <c r="E4" s="5"/>
      <c r="F4" s="5"/>
      <c r="G4" s="5"/>
      <c r="H4" s="6">
        <f>((G4-F4) +(E4-D4)) * 24</f>
        <v>0</v>
      </c>
    </row>
    <row r="5" spans="2:8" x14ac:dyDescent="0.25">
      <c r="B5" s="4">
        <v>46273</v>
      </c>
      <c r="C5" s="3" t="s">
        <v>2</v>
      </c>
      <c r="D5" s="5">
        <v>0.39583333333333331</v>
      </c>
      <c r="E5" s="5">
        <v>0.5625</v>
      </c>
      <c r="F5" s="5">
        <v>0.60416666666666663</v>
      </c>
      <c r="G5" s="5">
        <v>0.72916666666666663</v>
      </c>
      <c r="H5" s="6">
        <f t="shared" ref="H5:H10" si="0">((G5-F5) +(E5-D5)) * 24</f>
        <v>7</v>
      </c>
    </row>
    <row r="6" spans="2:8" x14ac:dyDescent="0.25">
      <c r="B6" s="4">
        <v>46274</v>
      </c>
      <c r="C6" s="3" t="s">
        <v>3</v>
      </c>
      <c r="D6" s="5">
        <v>0.70833333333333337</v>
      </c>
      <c r="E6" s="7"/>
      <c r="F6" s="7"/>
      <c r="G6" s="5">
        <v>0.89583333333333337</v>
      </c>
      <c r="H6" s="6">
        <f t="shared" si="0"/>
        <v>4.5</v>
      </c>
    </row>
    <row r="7" spans="2:8" x14ac:dyDescent="0.25">
      <c r="B7" s="4">
        <v>46275</v>
      </c>
      <c r="C7" s="3" t="s">
        <v>4</v>
      </c>
      <c r="D7" s="5">
        <v>0.70833333333333337</v>
      </c>
      <c r="E7" s="7"/>
      <c r="F7" s="7"/>
      <c r="G7" s="5">
        <v>0.89583333333333337</v>
      </c>
      <c r="H7" s="6">
        <f t="shared" si="0"/>
        <v>4.5</v>
      </c>
    </row>
    <row r="8" spans="2:8" x14ac:dyDescent="0.25">
      <c r="B8" s="4">
        <v>46276</v>
      </c>
      <c r="C8" s="3" t="s">
        <v>5</v>
      </c>
      <c r="D8" s="5">
        <v>0.70833333333333337</v>
      </c>
      <c r="E8" s="7"/>
      <c r="F8" s="7"/>
      <c r="G8" s="5">
        <v>0.89583333333333337</v>
      </c>
      <c r="H8" s="6">
        <f t="shared" si="0"/>
        <v>4.5</v>
      </c>
    </row>
    <row r="9" spans="2:8" x14ac:dyDescent="0.25">
      <c r="B9" s="4">
        <v>46277</v>
      </c>
      <c r="C9" s="3" t="s">
        <v>6</v>
      </c>
      <c r="D9" s="5"/>
      <c r="E9" s="5"/>
      <c r="F9" s="5"/>
      <c r="G9" s="5"/>
      <c r="H9" s="6">
        <f t="shared" si="0"/>
        <v>0</v>
      </c>
    </row>
    <row r="10" spans="2:8" x14ac:dyDescent="0.25">
      <c r="B10" s="4">
        <v>46278</v>
      </c>
      <c r="C10" s="3" t="s">
        <v>7</v>
      </c>
      <c r="D10" s="5">
        <v>0.39583333333333331</v>
      </c>
      <c r="E10" s="5"/>
      <c r="F10" s="5"/>
      <c r="G10" s="5">
        <v>0.60416666666666663</v>
      </c>
      <c r="H10" s="6">
        <f t="shared" si="0"/>
        <v>5</v>
      </c>
    </row>
    <row r="11" spans="2:8" x14ac:dyDescent="0.25">
      <c r="G11" s="2" t="s">
        <v>14</v>
      </c>
      <c r="H11" s="9">
        <f>SUM(H4:H10)</f>
        <v>25.5</v>
      </c>
    </row>
    <row r="12" spans="2:8" x14ac:dyDescent="0.25">
      <c r="G12" s="2" t="s">
        <v>15</v>
      </c>
      <c r="H12" s="7">
        <v>18.59</v>
      </c>
    </row>
    <row r="13" spans="2:8" x14ac:dyDescent="0.25">
      <c r="G13" s="2" t="s">
        <v>16</v>
      </c>
      <c r="H13" s="8">
        <f>ROUND(H11*H12,2)</f>
        <v>474.05</v>
      </c>
    </row>
    <row r="14" spans="2:8" x14ac:dyDescent="0.25">
      <c r="F14" s="2" t="s">
        <v>20</v>
      </c>
      <c r="G14" s="12">
        <v>3.6999999999999998E-2</v>
      </c>
      <c r="H14" s="8">
        <f>ROUND($H$13*G14,2)</f>
        <v>17.54</v>
      </c>
    </row>
    <row r="15" spans="2:8" x14ac:dyDescent="0.25">
      <c r="F15" s="2" t="s">
        <v>17</v>
      </c>
      <c r="G15" s="12">
        <v>6.2E-2</v>
      </c>
      <c r="H15" s="8">
        <f t="shared" ref="H15:H18" si="1">ROUND($H$13*G15,2)</f>
        <v>29.39</v>
      </c>
    </row>
    <row r="16" spans="2:8" x14ac:dyDescent="0.25">
      <c r="F16" s="2" t="s">
        <v>18</v>
      </c>
      <c r="G16" s="12">
        <v>1.4500000000000001E-2</v>
      </c>
      <c r="H16" s="8">
        <f t="shared" si="1"/>
        <v>6.87</v>
      </c>
    </row>
    <row r="17" spans="6:8" x14ac:dyDescent="0.25">
      <c r="F17" s="10" t="s">
        <v>21</v>
      </c>
      <c r="G17" s="12">
        <v>6.0000000000000001E-3</v>
      </c>
      <c r="H17" s="8">
        <f t="shared" si="1"/>
        <v>2.84</v>
      </c>
    </row>
    <row r="18" spans="6:8" x14ac:dyDescent="0.25">
      <c r="F18" s="10" t="s">
        <v>22</v>
      </c>
      <c r="G18" s="12">
        <v>1.2999999999999999E-2</v>
      </c>
      <c r="H18" s="8">
        <f t="shared" si="1"/>
        <v>6.16</v>
      </c>
    </row>
    <row r="19" spans="6:8" x14ac:dyDescent="0.25">
      <c r="G19" s="2" t="s">
        <v>23</v>
      </c>
      <c r="H19" s="8">
        <f>SUM(H14:H18)</f>
        <v>62.8</v>
      </c>
    </row>
    <row r="20" spans="6:8" x14ac:dyDescent="0.25">
      <c r="G20" s="2" t="s">
        <v>19</v>
      </c>
      <c r="H20" s="8">
        <f>H13-H19</f>
        <v>411.25</v>
      </c>
    </row>
    <row r="21" spans="6:8" x14ac:dyDescent="0.25">
      <c r="G21" s="1" t="s">
        <v>24</v>
      </c>
      <c r="H21" s="8">
        <f>'Estimated Take Home  - Aug 31'!H20 +'Estimated Take Home - Sept 7'!H20</f>
        <v>854.73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C4F7D-A5E7-4F11-BBC3-81983A7873FF}">
  <dimension ref="C1:I30"/>
  <sheetViews>
    <sheetView tabSelected="1" workbookViewId="0">
      <selection activeCell="D7" sqref="D7"/>
    </sheetView>
  </sheetViews>
  <sheetFormatPr defaultRowHeight="15" x14ac:dyDescent="0.25"/>
  <cols>
    <col min="3" max="3" width="38.140625" bestFit="1" customWidth="1"/>
    <col min="4" max="4" width="25.28515625" customWidth="1"/>
    <col min="5" max="5" width="32.42578125" bestFit="1" customWidth="1"/>
    <col min="7" max="7" width="21.85546875" bestFit="1" customWidth="1"/>
    <col min="8" max="8" width="37" bestFit="1" customWidth="1"/>
    <col min="9" max="9" width="22.28515625" bestFit="1" customWidth="1"/>
  </cols>
  <sheetData>
    <row r="1" spans="3:9" x14ac:dyDescent="0.25">
      <c r="H1" s="2" t="s">
        <v>51</v>
      </c>
      <c r="I1" s="7" t="s">
        <v>52</v>
      </c>
    </row>
    <row r="3" spans="3:9" x14ac:dyDescent="0.25">
      <c r="C3" s="2" t="s">
        <v>25</v>
      </c>
      <c r="D3" s="2" t="s">
        <v>27</v>
      </c>
    </row>
    <row r="4" spans="3:9" x14ac:dyDescent="0.25">
      <c r="C4" s="7" t="s">
        <v>26</v>
      </c>
      <c r="D4" s="7">
        <v>200</v>
      </c>
    </row>
    <row r="5" spans="3:9" x14ac:dyDescent="0.25">
      <c r="C5" s="7" t="s">
        <v>28</v>
      </c>
      <c r="D5" s="7">
        <v>20</v>
      </c>
    </row>
    <row r="6" spans="3:9" x14ac:dyDescent="0.25">
      <c r="C6" s="7" t="s">
        <v>29</v>
      </c>
      <c r="D6" s="7">
        <v>90</v>
      </c>
    </row>
    <row r="7" spans="3:9" x14ac:dyDescent="0.25">
      <c r="C7" s="2" t="s">
        <v>30</v>
      </c>
      <c r="D7" s="8">
        <f>SUM(D4:D6)</f>
        <v>310</v>
      </c>
    </row>
    <row r="9" spans="3:9" x14ac:dyDescent="0.25">
      <c r="C9" s="2" t="s">
        <v>31</v>
      </c>
      <c r="D9" s="8">
        <f>'Estimated Take Home - Sept 7'!H21</f>
        <v>854.73</v>
      </c>
    </row>
    <row r="10" spans="3:9" x14ac:dyDescent="0.25">
      <c r="C10" s="2" t="s">
        <v>32</v>
      </c>
      <c r="D10" s="8">
        <f>D7/2</f>
        <v>155</v>
      </c>
    </row>
    <row r="11" spans="3:9" x14ac:dyDescent="0.25">
      <c r="C11" s="2" t="s">
        <v>34</v>
      </c>
      <c r="D11" s="13">
        <f>ROUND(D10/D9,3)</f>
        <v>0.18099999999999999</v>
      </c>
    </row>
    <row r="13" spans="3:9" x14ac:dyDescent="0.25">
      <c r="C13" s="2" t="s">
        <v>35</v>
      </c>
      <c r="D13" s="14">
        <f>ROUND(1-D11,3)</f>
        <v>0.81899999999999995</v>
      </c>
    </row>
    <row r="14" spans="3:9" x14ac:dyDescent="0.25">
      <c r="C14" s="2" t="s">
        <v>33</v>
      </c>
      <c r="D14" s="12">
        <v>0.15</v>
      </c>
    </row>
    <row r="15" spans="3:9" x14ac:dyDescent="0.25">
      <c r="C15" s="2" t="s">
        <v>36</v>
      </c>
      <c r="D15" s="13">
        <f>ROUND(($D$13-$D$14)/2,3)</f>
        <v>0.33500000000000002</v>
      </c>
    </row>
    <row r="16" spans="3:9" x14ac:dyDescent="0.25">
      <c r="C16" s="2" t="s">
        <v>37</v>
      </c>
      <c r="D16" s="13">
        <f>ROUND(($D$13-$D$14)/2,3)</f>
        <v>0.33500000000000002</v>
      </c>
    </row>
    <row r="18" spans="3:8" x14ac:dyDescent="0.25">
      <c r="C18" s="2" t="str">
        <f>"Estimated Budgeted Amount " &amp; C14 &amp; " ($)"</f>
        <v>Estimated Budgeted Amount Fun Money ($)</v>
      </c>
      <c r="D18" s="7">
        <f>ROUND($D$9*D14,2)</f>
        <v>128.21</v>
      </c>
    </row>
    <row r="19" spans="3:8" x14ac:dyDescent="0.25">
      <c r="C19" s="2" t="str">
        <f t="shared" ref="C19:C20" si="0">"Estimated Budgeted Amount " &amp; C15 &amp; " ($)"</f>
        <v>Estimated Budgeted Amount Savings  ($)</v>
      </c>
      <c r="D19" s="7">
        <f t="shared" ref="D19:D20" si="1">ROUND($D$9*D15,2)</f>
        <v>286.33</v>
      </c>
    </row>
    <row r="20" spans="3:8" x14ac:dyDescent="0.25">
      <c r="C20" s="2" t="str">
        <f t="shared" si="0"/>
        <v>Estimated Budgeted Amount Investing  ($)</v>
      </c>
      <c r="D20" s="7">
        <f t="shared" si="1"/>
        <v>286.33</v>
      </c>
    </row>
    <row r="22" spans="3:8" x14ac:dyDescent="0.25">
      <c r="C22" s="2" t="s">
        <v>38</v>
      </c>
      <c r="D22" s="2" t="s">
        <v>49</v>
      </c>
      <c r="E22" s="2" t="s">
        <v>48</v>
      </c>
      <c r="G22" s="16" t="s">
        <v>38</v>
      </c>
      <c r="H22" t="s">
        <v>50</v>
      </c>
    </row>
    <row r="23" spans="3:8" x14ac:dyDescent="0.25">
      <c r="C23" s="7" t="s">
        <v>40</v>
      </c>
      <c r="D23" s="11">
        <v>0.35</v>
      </c>
      <c r="E23" s="7">
        <f>ROUND(fSavings[[#This Row],[Percentage Per Category]]*$D$19,2)</f>
        <v>100.22</v>
      </c>
      <c r="G23" t="s">
        <v>40</v>
      </c>
      <c r="H23" s="17">
        <v>100.22</v>
      </c>
    </row>
    <row r="24" spans="3:8" x14ac:dyDescent="0.25">
      <c r="C24" s="7" t="s">
        <v>39</v>
      </c>
      <c r="D24" s="15">
        <v>0.15</v>
      </c>
      <c r="E24" s="7">
        <f>ROUND(fSavings[[#This Row],[Percentage Per Category]]*$D$19,2)</f>
        <v>42.95</v>
      </c>
      <c r="G24" t="s">
        <v>41</v>
      </c>
      <c r="H24" s="17">
        <v>28.63</v>
      </c>
    </row>
    <row r="25" spans="3:8" x14ac:dyDescent="0.25">
      <c r="C25" s="7" t="s">
        <v>41</v>
      </c>
      <c r="D25" s="11">
        <v>0.1</v>
      </c>
      <c r="E25" s="7">
        <f>ROUND(fSavings[[#This Row],[Percentage Per Category]]*$D$19,2)</f>
        <v>28.63</v>
      </c>
      <c r="G25" t="s">
        <v>39</v>
      </c>
      <c r="H25" s="17">
        <v>42.95</v>
      </c>
    </row>
    <row r="26" spans="3:8" x14ac:dyDescent="0.25">
      <c r="C26" s="7" t="s">
        <v>42</v>
      </c>
      <c r="D26" s="11">
        <v>0.1</v>
      </c>
      <c r="E26" s="7">
        <f>ROUND(fSavings[[#This Row],[Percentage Per Category]]*$D$19,2)</f>
        <v>28.63</v>
      </c>
      <c r="G26" t="s">
        <v>45</v>
      </c>
      <c r="H26" s="17">
        <v>28.63</v>
      </c>
    </row>
    <row r="27" spans="3:8" x14ac:dyDescent="0.25">
      <c r="C27" s="7" t="s">
        <v>43</v>
      </c>
      <c r="D27" s="11">
        <v>0.1</v>
      </c>
      <c r="E27" s="7">
        <f>ROUND(fSavings[[#This Row],[Percentage Per Category]]*$D$19,2)</f>
        <v>28.63</v>
      </c>
      <c r="G27" t="s">
        <v>43</v>
      </c>
      <c r="H27" s="17">
        <v>28.63</v>
      </c>
    </row>
    <row r="28" spans="3:8" x14ac:dyDescent="0.25">
      <c r="C28" s="7" t="s">
        <v>44</v>
      </c>
      <c r="D28" s="11">
        <v>0.1</v>
      </c>
      <c r="E28" s="7">
        <f>ROUND(fSavings[[#This Row],[Percentage Per Category]]*$D$19,2)</f>
        <v>28.63</v>
      </c>
      <c r="G28" t="s">
        <v>42</v>
      </c>
      <c r="H28" s="17">
        <v>28.63</v>
      </c>
    </row>
    <row r="29" spans="3:8" x14ac:dyDescent="0.25">
      <c r="C29" s="7" t="s">
        <v>45</v>
      </c>
      <c r="D29" s="11">
        <v>0.1</v>
      </c>
      <c r="E29" s="7">
        <f>ROUND(fSavings[[#This Row],[Percentage Per Category]]*$D$19,2)</f>
        <v>28.63</v>
      </c>
      <c r="G29" t="s">
        <v>44</v>
      </c>
      <c r="H29" s="17">
        <v>28.63</v>
      </c>
    </row>
    <row r="30" spans="3:8" x14ac:dyDescent="0.25">
      <c r="C30" s="7" t="s">
        <v>46</v>
      </c>
      <c r="D30" s="11">
        <f>SUM(D23:D29)</f>
        <v>0.99999999999999989</v>
      </c>
      <c r="E30" s="7">
        <f>SUBTOTAL(109,fSavings[Estimated Savings Per Category])</f>
        <v>286.32</v>
      </c>
      <c r="G30" t="s">
        <v>47</v>
      </c>
      <c r="H30" s="17">
        <v>286.32</v>
      </c>
    </row>
  </sheetData>
  <conditionalFormatting pivot="1" sqref="H23">
    <cfRule type="top10" dxfId="0" priority="1" rank="1"/>
  </conditionalFormatting>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Estimated Take Home  - Aug 31</vt:lpstr>
      <vt:lpstr>Estimated Take Home - Sept 7</vt:lpstr>
      <vt:lpstr>Budgeting Paycheck - Sept 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Randy Hernandez</dc:creator>
  <cp:lastModifiedBy>Randy Hernandez</cp:lastModifiedBy>
  <dcterms:created xsi:type="dcterms:W3CDTF">2026-08-30T21:01:22Z</dcterms:created>
  <dcterms:modified xsi:type="dcterms:W3CDTF">2026-08-30T22:24:06Z</dcterms:modified>
</cp:coreProperties>
</file>