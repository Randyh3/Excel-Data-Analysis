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vi\Desktop\MyExcelBasicsClass\MECS04DownloadFiles\"/>
    </mc:Choice>
  </mc:AlternateContent>
  <xr:revisionPtr revIDLastSave="0" documentId="8_{7FE10AB8-007E-47D0-B336-FE3DD8D72681}" xr6:coauthVersionLast="47" xr6:coauthVersionMax="47" xr10:uidLastSave="{00000000-0000-0000-0000-000000000000}"/>
  <bookViews>
    <workbookView xWindow="-120" yWindow="-120" windowWidth="29040" windowHeight="15720" xr2:uid="{1225B0E0-CDCC-41AB-8556-1838B04995CB}"/>
  </bookViews>
  <sheets>
    <sheet name="EB10-SORT" sheetId="1" r:id="rId1"/>
  </sheets>
  <externalReferences>
    <externalReference r:id="rId2"/>
    <externalReference r:id="rId3"/>
    <externalReference r:id="rId4"/>
  </externalReferences>
  <definedNames>
    <definedName name="_xlpm.currTbl" hidden="1">#NAME?</definedName>
    <definedName name="_xlpm.rng" hidden="1">#NAME?</definedName>
    <definedName name="_xlpm.row" hidden="1">#NAME?</definedName>
    <definedName name="_xlpm.start" hidden="1">#NAME?</definedName>
    <definedName name="FilterContext">[1]!FilterContext2[#Data]</definedName>
    <definedName name="HouC">[2]Intro!$D$4:$D$17</definedName>
    <definedName name="Hours">[2]LAMBDA!$E$13:$E$26</definedName>
    <definedName name="HoursWorked">[3]GB!$D$3:$D$19</definedName>
    <definedName name="_xlnm.Print_Area" localSheetId="0">'EB10-SORT'!$P$1:$W$26</definedName>
    <definedName name="ShowFormulas" comment="This function requires a worksheet range and the function will list all formulas from the range in a vertical array.">_xlfn.LAMBDA(_xlpm.reference,IFERROR(_xlfn.TOCOL(ADDRESS(ROW(_xlpm.reference), COLUMN(_xlpm.reference), 4) &amp; ": " &amp; _xlfn.FORMULATEXT(_xlpm.reference), 2), ""))</definedName>
    <definedName name="Vid">[2]LAMBDA!$D$13:$D$26</definedName>
    <definedName name="VidC">[2]Intro!$C$4:$C$17</definedName>
    <definedName name="Video">[3]GB!$C$3:$C$19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" i="1" l="1" a="1"/>
  <c r="AJ5" i="1" s="1"/>
  <c r="Y5" i="1" a="1"/>
  <c r="Y5" i="1" s="1"/>
  <c r="T5" i="1" a="1"/>
  <c r="T5" i="1" s="1"/>
  <c r="AN5" i="1" a="1"/>
  <c r="AN5" i="1" s="1"/>
  <c r="T25" i="1" a="1"/>
  <c r="T25" i="1" s="1"/>
  <c r="Y25" i="1" a="1"/>
  <c r="AB15" i="1" a="1"/>
  <c r="AB6" i="1" a="1"/>
  <c r="J19" i="1"/>
  <c r="J18" i="1"/>
  <c r="Y25" i="1" l="1"/>
  <c r="AB15" i="1"/>
  <c r="AB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<sst xmlns="http://schemas.openxmlformats.org/spreadsheetml/2006/main" count="227" uniqueCount="77">
  <si>
    <t>Excel Table with dropdown arrows for easy sorting &amp; filtering:</t>
  </si>
  <si>
    <t>Single column table:</t>
  </si>
  <si>
    <t>If you have mixed data, an A to Z sort would sort like:</t>
  </si>
  <si>
    <t>SORT Array Function:</t>
  </si>
  <si>
    <t>Must add bold to field name before sorting:</t>
  </si>
  <si>
    <t>Numbers</t>
  </si>
  <si>
    <t>Date</t>
  </si>
  <si>
    <t>Region</t>
  </si>
  <si>
    <t>Sales</t>
  </si>
  <si>
    <t>SalesRep</t>
  </si>
  <si>
    <t>Product</t>
  </si>
  <si>
    <t>Text/words</t>
  </si>
  <si>
    <t>Racer</t>
  </si>
  <si>
    <t>Time</t>
  </si>
  <si>
    <t>West</t>
  </si>
  <si>
    <t>Shayla</t>
  </si>
  <si>
    <t>Carlota</t>
  </si>
  <si>
    <t>Field Name</t>
  </si>
  <si>
    <t>Isaac</t>
  </si>
  <si>
    <t>=SORT(Q5:R16,2)</t>
  </si>
  <si>
    <t>MidWest</t>
  </si>
  <si>
    <t>Yanaki</t>
  </si>
  <si>
    <t>Tara Tyler</t>
  </si>
  <si>
    <t>Magic</t>
  </si>
  <si>
    <t>East</t>
  </si>
  <si>
    <t>FlyFast</t>
  </si>
  <si>
    <t>Oscar Santos</t>
  </si>
  <si>
    <t>Errors (in the order they occur)</t>
  </si>
  <si>
    <t>Ella</t>
  </si>
  <si>
    <t>Ahmed</t>
  </si>
  <si>
    <t>Quad</t>
  </si>
  <si>
    <t>Nadine Erickson</t>
  </si>
  <si>
    <t>Empty Cells (Always sorted to the bottom whether A to Z or Z to A)</t>
  </si>
  <si>
    <t>Zaine</t>
  </si>
  <si>
    <t>=SORT(Q5:R16,{1,2})</t>
  </si>
  <si>
    <t>SouthWest</t>
  </si>
  <si>
    <t>Lamar Rivera</t>
  </si>
  <si>
    <t>Chantel</t>
  </si>
  <si>
    <t>Geraldine Wolfe</t>
  </si>
  <si>
    <t>Values</t>
  </si>
  <si>
    <t>Thomas Wade</t>
  </si>
  <si>
    <t>report instantly updates.</t>
  </si>
  <si>
    <t>Charlie Stewart</t>
  </si>
  <si>
    <t>Sioux</t>
  </si>
  <si>
    <t>SpitFire</t>
  </si>
  <si>
    <t>Colleen Berry</t>
  </si>
  <si>
    <t>Glen Wise</t>
  </si>
  <si>
    <t>Sunshine</t>
  </si>
  <si>
    <t>Jeanette Owen</t>
  </si>
  <si>
    <t>sioux</t>
  </si>
  <si>
    <t>South</t>
  </si>
  <si>
    <t>NorthWest</t>
  </si>
  <si>
    <t>chin</t>
  </si>
  <si>
    <t>Gigi</t>
  </si>
  <si>
    <t>Sorted Unique List:</t>
  </si>
  <si>
    <t>Racers</t>
  </si>
  <si>
    <t>=SORT(Q5:R16,2,-1)</t>
  </si>
  <si>
    <t>=SORT(Q5:R16,{1,2},{-1,-1})</t>
  </si>
  <si>
    <t>Dr. D</t>
  </si>
  <si>
    <t>=SORT(R5:R16)</t>
  </si>
  <si>
    <t>1) Sorts first column by default A-Z</t>
  </si>
  <si>
    <t>2) Sort to show fastest times on top.</t>
  </si>
  <si>
    <t>3) Sort by Racer (AtoZ), then by Time (AtoZ).</t>
  </si>
  <si>
    <t>4) Sort to show slowest times on top.</t>
  </si>
  <si>
    <t>5) Sort by Racer (ZtoA), then by Time (ZtoA).</t>
  </si>
  <si>
    <t>6) When you add data to Excel Table,</t>
  </si>
  <si>
    <t>Racer Averages:</t>
  </si>
  <si>
    <t>Racer Fastest Times:</t>
  </si>
  <si>
    <t>SORT Array Function Solution:</t>
  </si>
  <si>
    <t>Sorted Unique List Solution:</t>
  </si>
  <si>
    <t>Track</t>
  </si>
  <si>
    <t>Sumner</t>
  </si>
  <si>
    <t>SeaTac</t>
  </si>
  <si>
    <t>Port Orchard</t>
  </si>
  <si>
    <t>Everrett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</si>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</sst>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14" fontId="0" fillId="0" borderId="0" xfId="0" applyNumberFormat="1"/>
    <xf numFmtId="164" fontId="0" fillId="0" borderId="0" xfId="0" applyNumberFormat="1"/>
    <xf numFmtId="0" fontId="0" fillId="0" borderId="0" xfId="0" quotePrefix="1" applyAlignment="1">
      <alignment horizontal="left" indent="2"/>
    </xf>
    <xf numFmtId="14" fontId="0" fillId="3" borderId="0" xfId="0" applyNumberFormat="1" applyFill="1"/>
    <xf numFmtId="0" fontId="0" fillId="3" borderId="0" xfId="0" applyFill="1"/>
    <xf numFmtId="0" fontId="2" fillId="0" borderId="3" xfId="0" applyFont="1" applyBorder="1"/>
    <xf numFmtId="0" fontId="0" fillId="0" borderId="3" xfId="0" applyBorder="1"/>
    <xf numFmtId="0" fontId="0" fillId="0" borderId="0" xfId="0" applyAlignment="1">
      <alignment horizontal="left" indent="2"/>
    </xf>
    <xf numFmtId="0" fontId="0" fillId="0" borderId="0" xfId="0" quotePrefix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1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m/d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164" formatCode="m/d/yy;@"/>
    </dxf>
    <dxf>
      <numFmt numFmtId="164" formatCode="m/d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girvin\Desktop\00-218-2025-ExcelBasics\03-Videos\Video10\Re-doMECS04Part01\ExcelBasics10-Short01-02-03\04-M365ExcelClass.xlsx" TargetMode="External"/><Relationship Id="rId1" Type="http://schemas.openxmlformats.org/officeDocument/2006/relationships/externalLinkPath" Target="00-218-2025-ExcelBasics/03-Videos/Video10-13/Video10/Re-doMECS04Part01/MECS04DownloadFiles/04-M365ExcelClas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girvin\Desktop\00-218-2025-ExcelBasics\02-Files\ExcelBasics09.xlsx" TargetMode="External"/><Relationship Id="rId1" Type="http://schemas.openxmlformats.org/officeDocument/2006/relationships/externalLinkPath" Target="00-218-2025-ExcelBasics/02-Files/ExcelBasics09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girvin\Desktop\00-218-2025-ExcelBasics\03-Videos\Video13-Old08%20-%20With%20Full%20Data%20Set%20For%20ALl%20Cahrts%20ANd%20Tools\NewChapter08\ExcelBasics08Full.xlsx" TargetMode="External"/><Relationship Id="rId1" Type="http://schemas.openxmlformats.org/officeDocument/2006/relationships/externalLinkPath" Target="00-218-2025-ExcelBasics/03-Videos/Video13-Old08%20-%20With%20Full%20Data%20Set%20For%20ALl%20Cahrts%20ANd%20Tools/NewChapter08/ExcelBasics08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(4MECS)"/>
      <sheetName val="C(4MECS) (2)"/>
      <sheetName val="C(4)"/>
      <sheetName val="C(5)"/>
      <sheetName val="EB(10)"/>
      <sheetName val="Topics"/>
      <sheetName val="ProgressCheckList"/>
      <sheetName val="Data Analysis"/>
      <sheetName val="S F FF"/>
      <sheetName val="S F FF (an)"/>
      <sheetName val="West"/>
      <sheetName val="PT"/>
      <sheetName val="PQ"/>
      <sheetName val="PQ(1-Info)"/>
      <sheetName val="PQ(1)"/>
      <sheetName val="PQ(1an)"/>
      <sheetName val="PQ(2)PT-info"/>
      <sheetName val="PQ(2)PT"/>
      <sheetName val="PQ(2)PT (an)"/>
      <sheetName val="XLOOKUP &amp; PT"/>
      <sheetName val="XLOOKUP &amp; PT (an)"/>
      <sheetName val="PP"/>
      <sheetName val="R DM DAX"/>
      <sheetName val="FilterContextVisual"/>
      <sheetName val="Mistake"/>
      <sheetName val="R DM DAX (an)"/>
      <sheetName val="Semantic Model"/>
      <sheetName val="BIDesktop"/>
      <sheetName val="Refresh08and09"/>
      <sheetName val="PBID(10)"/>
      <sheetName val="PBID Data Model SQL"/>
      <sheetName val="Columnar Database"/>
      <sheetName val="RevenueFormula"/>
      <sheetName val="Credentials"/>
      <sheetName val="HW ==&gt;&gt;"/>
      <sheetName val="HW(1)"/>
      <sheetName val="HW(1an)"/>
      <sheetName val="HW(2)"/>
      <sheetName val="HW(2an)"/>
      <sheetName val="HW(3)"/>
      <sheetName val="HW(3an)"/>
      <sheetName val="HW(4)"/>
      <sheetName val="HW(4an)"/>
      <sheetName val="HW(5)"/>
      <sheetName val="04-M365ExcelCl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"/>
      <sheetName val="C"/>
      <sheetName val="C (2)"/>
      <sheetName val="Topics"/>
      <sheetName val="ArrayFunctionsInThisVideo"/>
      <sheetName val="AllArrayFunctions"/>
      <sheetName val="DSRF"/>
      <sheetName val="DSRF (an)"/>
      <sheetName val="GB Arguments"/>
      <sheetName val="GB-FieldRelationship"/>
      <sheetName val="PB Arguments"/>
      <sheetName val="ArrayReportingHistory"/>
      <sheetName val="WhenToUseFormulas"/>
      <sheetName val="ETN"/>
      <sheetName val="LAMBDA"/>
      <sheetName val="Median"/>
      <sheetName val="DROP"/>
      <sheetName val="PivotPIVOTBY"/>
      <sheetName val="(1)"/>
      <sheetName val="(1an)"/>
      <sheetName val="(2)"/>
      <sheetName val="(2an)"/>
      <sheetName val="(3)"/>
      <sheetName val="(3an)"/>
      <sheetName val="(4)"/>
      <sheetName val="(4an)"/>
      <sheetName val="(5)"/>
      <sheetName val="(5an)"/>
      <sheetName val="(6)"/>
      <sheetName val="(6an)"/>
      <sheetName val="(7)"/>
      <sheetName val="(7an)"/>
      <sheetName val="(8)"/>
      <sheetName val="(8an)"/>
      <sheetName val="(9)"/>
      <sheetName val="(9an)"/>
      <sheetName val="(10)"/>
      <sheetName val="Bonus"/>
      <sheetName val="HW==&gt;"/>
      <sheetName val="HW(1-4)"/>
      <sheetName val="HW(1-4an)"/>
      <sheetName val="HW(5)"/>
      <sheetName val="HW(5an)"/>
    </sheetNames>
    <sheetDataSet>
      <sheetData sheetId="0">
        <row r="4">
          <cell r="C4" t="str">
            <v>Video</v>
          </cell>
          <cell r="D4" t="str">
            <v>HoursWorked</v>
          </cell>
        </row>
        <row r="5">
          <cell r="C5" t="str">
            <v>Video 1</v>
          </cell>
          <cell r="D5">
            <v>8</v>
          </cell>
        </row>
        <row r="6">
          <cell r="C6" t="str">
            <v>Video 1</v>
          </cell>
          <cell r="D6">
            <v>7</v>
          </cell>
        </row>
        <row r="7">
          <cell r="C7" t="str">
            <v>Video 2</v>
          </cell>
          <cell r="D7">
            <v>5</v>
          </cell>
        </row>
        <row r="8">
          <cell r="C8" t="str">
            <v>Video 2</v>
          </cell>
          <cell r="D8">
            <v>7</v>
          </cell>
        </row>
        <row r="9">
          <cell r="C9" t="str">
            <v>Video 2</v>
          </cell>
          <cell r="D9">
            <v>6.5</v>
          </cell>
        </row>
        <row r="10">
          <cell r="C10" t="str">
            <v>Video 3</v>
          </cell>
          <cell r="D10">
            <v>8</v>
          </cell>
        </row>
        <row r="11">
          <cell r="C11" t="str">
            <v>Video 3</v>
          </cell>
          <cell r="D11">
            <v>12</v>
          </cell>
        </row>
        <row r="12">
          <cell r="C12" t="str">
            <v>Video 4</v>
          </cell>
          <cell r="D12">
            <v>10</v>
          </cell>
        </row>
        <row r="13">
          <cell r="C13" t="str">
            <v>Video 4</v>
          </cell>
          <cell r="D13">
            <v>3</v>
          </cell>
        </row>
        <row r="14">
          <cell r="C14" t="str">
            <v>Video 5</v>
          </cell>
          <cell r="D14">
            <v>10.5</v>
          </cell>
        </row>
        <row r="15">
          <cell r="C15" t="str">
            <v>Video 6</v>
          </cell>
          <cell r="D15">
            <v>7</v>
          </cell>
        </row>
        <row r="16">
          <cell r="C16" t="str">
            <v>Video 6</v>
          </cell>
          <cell r="D16">
            <v>6.5</v>
          </cell>
        </row>
        <row r="17">
          <cell r="C17" t="str">
            <v>Video 6</v>
          </cell>
          <cell r="D17">
            <v>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3">
          <cell r="D13" t="str">
            <v>Video</v>
          </cell>
          <cell r="E13" t="str">
            <v>HoursWorked</v>
          </cell>
        </row>
        <row r="14">
          <cell r="D14" t="str">
            <v>Video 1</v>
          </cell>
          <cell r="E14">
            <v>8</v>
          </cell>
        </row>
        <row r="15">
          <cell r="D15" t="str">
            <v>Video 1</v>
          </cell>
          <cell r="E15">
            <v>7</v>
          </cell>
        </row>
        <row r="16">
          <cell r="D16" t="str">
            <v>Video 2</v>
          </cell>
          <cell r="E16">
            <v>5</v>
          </cell>
        </row>
        <row r="17">
          <cell r="D17" t="str">
            <v>Video 2</v>
          </cell>
          <cell r="E17">
            <v>7</v>
          </cell>
        </row>
        <row r="18">
          <cell r="D18" t="str">
            <v>Video 2</v>
          </cell>
          <cell r="E18">
            <v>6.5</v>
          </cell>
        </row>
        <row r="19">
          <cell r="D19" t="str">
            <v>Video 3</v>
          </cell>
          <cell r="E19">
            <v>8</v>
          </cell>
        </row>
        <row r="20">
          <cell r="D20" t="str">
            <v>Video 3</v>
          </cell>
          <cell r="E20">
            <v>12</v>
          </cell>
        </row>
        <row r="21">
          <cell r="D21" t="str">
            <v>Video 4</v>
          </cell>
          <cell r="E21">
            <v>10</v>
          </cell>
        </row>
        <row r="22">
          <cell r="D22" t="str">
            <v>Video 4</v>
          </cell>
          <cell r="E22">
            <v>3</v>
          </cell>
        </row>
        <row r="23">
          <cell r="D23" t="str">
            <v>Video 5</v>
          </cell>
          <cell r="E23">
            <v>10.5</v>
          </cell>
        </row>
        <row r="24">
          <cell r="D24" t="str">
            <v>Video 6</v>
          </cell>
          <cell r="E24">
            <v>7</v>
          </cell>
        </row>
        <row r="25">
          <cell r="D25" t="str">
            <v>Video 6</v>
          </cell>
          <cell r="E25">
            <v>6.5</v>
          </cell>
        </row>
        <row r="26">
          <cell r="D26" t="str">
            <v>Video 6</v>
          </cell>
          <cell r="E26">
            <v>10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ics"/>
      <sheetName val="Data Analysis"/>
      <sheetName val="Sort"/>
      <sheetName val="Filter"/>
      <sheetName val="PT-SummarizeValuesBy"/>
      <sheetName val="PT-ShowValuesAs"/>
      <sheetName val="Chart Types"/>
      <sheetName val="PT(1)"/>
      <sheetName val="PT(2)"/>
      <sheetName val="PT(3) Group Numbers"/>
      <sheetName val="GB Arguments"/>
      <sheetName val="PB Arguments"/>
      <sheetName val="GB"/>
      <sheetName val="PB"/>
      <sheetName val="Dashboar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 t="str">
            <v>Video</v>
          </cell>
          <cell r="D3" t="str">
            <v>HoursWorked</v>
          </cell>
        </row>
        <row r="4">
          <cell r="C4" t="str">
            <v>Video 1</v>
          </cell>
          <cell r="D4">
            <v>8</v>
          </cell>
        </row>
        <row r="5">
          <cell r="C5" t="str">
            <v>Video 1</v>
          </cell>
          <cell r="D5">
            <v>7</v>
          </cell>
        </row>
        <row r="6">
          <cell r="C6" t="str">
            <v>Video 2</v>
          </cell>
          <cell r="D6">
            <v>5</v>
          </cell>
        </row>
        <row r="7">
          <cell r="C7" t="str">
            <v>Video 2</v>
          </cell>
          <cell r="D7">
            <v>7</v>
          </cell>
        </row>
        <row r="8">
          <cell r="C8" t="str">
            <v>Video 2</v>
          </cell>
          <cell r="D8">
            <v>6.5</v>
          </cell>
        </row>
        <row r="9">
          <cell r="C9" t="str">
            <v>Video 3</v>
          </cell>
          <cell r="D9">
            <v>8</v>
          </cell>
        </row>
        <row r="10">
          <cell r="C10" t="str">
            <v>Video 3</v>
          </cell>
          <cell r="D10">
            <v>12</v>
          </cell>
        </row>
        <row r="11">
          <cell r="C11" t="str">
            <v>Video 4</v>
          </cell>
          <cell r="D11">
            <v>10</v>
          </cell>
        </row>
        <row r="12">
          <cell r="C12" t="str">
            <v>Video 4</v>
          </cell>
          <cell r="D12">
            <v>3</v>
          </cell>
        </row>
        <row r="13">
          <cell r="C13" t="str">
            <v>Video 5</v>
          </cell>
          <cell r="D13">
            <v>10.5</v>
          </cell>
        </row>
        <row r="14">
          <cell r="C14" t="str">
            <v>Video 6</v>
          </cell>
          <cell r="D14">
            <v>7</v>
          </cell>
        </row>
        <row r="15">
          <cell r="C15" t="str">
            <v>Video 6</v>
          </cell>
          <cell r="D15">
            <v>6.5</v>
          </cell>
        </row>
        <row r="16">
          <cell r="C16" t="str">
            <v>Video 6</v>
          </cell>
          <cell r="D16">
            <v>10</v>
          </cell>
        </row>
        <row r="17">
          <cell r="C17" t="str">
            <v>Video 7</v>
          </cell>
          <cell r="D17">
            <v>6</v>
          </cell>
        </row>
        <row r="18">
          <cell r="C18" t="str">
            <v>Video 8</v>
          </cell>
          <cell r="D18">
            <v>11.5</v>
          </cell>
        </row>
        <row r="19">
          <cell r="C19" t="str">
            <v>Video 8</v>
          </cell>
          <cell r="D19">
            <v>12</v>
          </cell>
        </row>
      </sheetData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4F180-08A2-41C3-845C-BC3FD972B9DF}" name="SortT" displayName="SortT" ref="B4:F33" totalsRowShown="0" headerRowDxfId="10">
  <autoFilter ref="B4:F33" xr:uid="{2581721B-EAB8-4958-910B-B1C3C0DB0602}"/>
  <tableColumns count="5">
    <tableColumn id="1" xr3:uid="{1471168A-2C6F-4458-8B23-BBA3B2703CD0}" name="Date" dataDxfId="9"/>
    <tableColumn id="3" xr3:uid="{9BC37150-E30B-4434-AF5D-6199A7814A6D}" name="Region"/>
    <tableColumn id="4" xr3:uid="{52B7E8BB-BBAA-4BB0-AC2C-658CC035440C}" name="Sales"/>
    <tableColumn id="6" xr3:uid="{6663A8D9-C7FA-486B-9770-AB2D3A8E1839}" name="SalesRep"/>
    <tableColumn id="7" xr3:uid="{4366AD29-7FA2-4ED6-BE04-910D294A82E1}" name="Produ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49C8FE-79AE-4D72-BC95-3462CB2220C6}" name="RacersT" displayName="RacersT" ref="P4:R16" totalsRowShown="0" headerRowDxfId="4">
  <autoFilter ref="P4:R16" xr:uid="{224DBD81-D920-4E4C-949B-AE7869A1AD9F}"/>
  <tableColumns count="3">
    <tableColumn id="1" xr3:uid="{EC1C2D9B-87C8-44CA-96B0-E834059D7C64}" name="Date" dataDxfId="3"/>
    <tableColumn id="2" xr3:uid="{C6A74246-224C-4AD9-8EF7-117BDD089692}" name="Racer"/>
    <tableColumn id="3" xr3:uid="{9996FDDA-93B9-429B-8A2D-4D237D91C041}" name="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987FD6-BD30-4544-8B2E-BBC160410D0E}" name="RacersT4" displayName="RacersT4" ref="AE4:AH26" totalsRowShown="0" headerRowDxfId="8">
  <autoFilter ref="AE4:AH26" xr:uid="{C6987FD6-BD30-4544-8B2E-BBC160410D0E}"/>
  <sortState xmlns:xlrd2="http://schemas.microsoft.com/office/spreadsheetml/2017/richdata2" ref="AE5:AH16">
    <sortCondition ref="AH4:AH16"/>
  </sortState>
  <tableColumns count="4">
    <tableColumn id="1" xr3:uid="{2125BA77-8A0E-4F1C-9E5D-607540B61697}" name="Date" dataDxfId="7"/>
    <tableColumn id="4" xr3:uid="{F66D904E-39AE-42F1-BBA0-72A14C55F1C9}" name="Track" dataDxfId="6"/>
    <tableColumn id="2" xr3:uid="{0F54BCD0-D0FA-4EE3-9FC8-0407F01B423E}" name="Racer"/>
    <tableColumn id="3" xr3:uid="{818B226F-FF4D-435D-BFE1-64F7BC902A0B}" name="Tim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0715-BD34-4F8F-9109-98008CAFB7B8}">
  <sheetPr>
    <tabColor rgb="FF0000FF"/>
  </sheetPr>
  <dimension ref="B2:AY36"/>
  <sheetViews>
    <sheetView tabSelected="1" topLeftCell="W2" zoomScaleNormal="100" workbookViewId="0">
      <selection activeCell="AJ6" sqref="AJ6"/>
    </sheetView>
  </sheetViews>
  <sheetFormatPr defaultRowHeight="15" x14ac:dyDescent="0.25"/>
  <cols>
    <col min="1" max="1" width="3.140625" customWidth="1"/>
    <col min="2" max="2" width="12.140625" customWidth="1"/>
    <col min="3" max="3" width="10.7109375" bestFit="1" customWidth="1"/>
    <col min="4" max="4" width="9.5703125" customWidth="1"/>
    <col min="5" max="5" width="11.140625" customWidth="1"/>
    <col min="6" max="6" width="10" customWidth="1"/>
    <col min="7" max="7" width="7.42578125" customWidth="1"/>
    <col min="8" max="8" width="17.140625" customWidth="1"/>
    <col min="9" max="9" width="26.28515625" customWidth="1"/>
    <col min="10" max="10" width="15" customWidth="1"/>
    <col min="11" max="11" width="11.140625" customWidth="1"/>
    <col min="12" max="12" width="10" customWidth="1"/>
    <col min="16" max="16" width="9.85546875" customWidth="1"/>
    <col min="18" max="18" width="8.140625" customWidth="1"/>
    <col min="19" max="19" width="1.5703125" customWidth="1"/>
    <col min="22" max="22" width="1.5703125" customWidth="1"/>
    <col min="23" max="23" width="38" customWidth="1"/>
    <col min="24" max="24" width="2.140625" customWidth="1"/>
    <col min="27" max="27" width="9.42578125" customWidth="1"/>
    <col min="31" max="31" width="11.7109375" customWidth="1"/>
    <col min="32" max="32" width="15.5703125" customWidth="1"/>
    <col min="33" max="33" width="12.28515625" customWidth="1"/>
    <col min="34" max="34" width="12.42578125" customWidth="1"/>
    <col min="35" max="35" width="4.140625" customWidth="1"/>
    <col min="36" max="36" width="15.7109375" customWidth="1"/>
    <col min="37" max="37" width="10.7109375" customWidth="1"/>
    <col min="38" max="38" width="10.28515625" customWidth="1"/>
    <col min="40" max="42" width="12.28515625" customWidth="1"/>
    <col min="49" max="49" width="12.28515625" customWidth="1"/>
  </cols>
  <sheetData>
    <row r="2" spans="2:51" x14ac:dyDescent="0.25">
      <c r="B2" s="1" t="s">
        <v>0</v>
      </c>
      <c r="H2" s="1" t="s">
        <v>1</v>
      </c>
      <c r="J2" s="1" t="s">
        <v>2</v>
      </c>
      <c r="T2" s="1" t="s">
        <v>3</v>
      </c>
      <c r="Y2" s="1" t="s">
        <v>54</v>
      </c>
      <c r="AJ2" s="1" t="s">
        <v>3</v>
      </c>
      <c r="AN2" s="14" t="s">
        <v>68</v>
      </c>
    </row>
    <row r="3" spans="2:51" x14ac:dyDescent="0.25">
      <c r="H3" t="s">
        <v>4</v>
      </c>
      <c r="J3" t="s">
        <v>5</v>
      </c>
      <c r="AW3" t="s">
        <v>70</v>
      </c>
      <c r="AX3" t="s">
        <v>75</v>
      </c>
      <c r="AY3" t="s">
        <v>76</v>
      </c>
    </row>
    <row r="4" spans="2:51" x14ac:dyDescent="0.25"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J4" t="s">
        <v>11</v>
      </c>
      <c r="P4" s="1" t="s">
        <v>6</v>
      </c>
      <c r="Q4" s="1" t="s">
        <v>12</v>
      </c>
      <c r="R4" s="1" t="s">
        <v>13</v>
      </c>
      <c r="T4" s="2" t="s">
        <v>12</v>
      </c>
      <c r="U4" s="3" t="s">
        <v>13</v>
      </c>
      <c r="W4" t="s">
        <v>60</v>
      </c>
      <c r="Y4" s="1" t="s">
        <v>55</v>
      </c>
      <c r="AB4" s="1" t="s">
        <v>66</v>
      </c>
      <c r="AE4" s="1" t="s">
        <v>6</v>
      </c>
      <c r="AF4" s="1" t="s">
        <v>70</v>
      </c>
      <c r="AG4" s="1" t="s">
        <v>12</v>
      </c>
      <c r="AH4" s="1" t="s">
        <v>13</v>
      </c>
      <c r="AI4" s="1"/>
      <c r="AJ4" s="2" t="s">
        <v>70</v>
      </c>
      <c r="AK4" s="2" t="s">
        <v>12</v>
      </c>
      <c r="AL4" s="3" t="s">
        <v>13</v>
      </c>
      <c r="AN4" s="2" t="s">
        <v>70</v>
      </c>
      <c r="AO4" s="2" t="s">
        <v>12</v>
      </c>
      <c r="AP4" s="3" t="s">
        <v>13</v>
      </c>
      <c r="AW4" t="s">
        <v>73</v>
      </c>
      <c r="AX4">
        <v>330</v>
      </c>
      <c r="AY4">
        <v>390</v>
      </c>
    </row>
    <row r="5" spans="2:51" x14ac:dyDescent="0.25">
      <c r="B5" s="4">
        <v>44009</v>
      </c>
      <c r="C5" t="s">
        <v>14</v>
      </c>
      <c r="D5">
        <v>352</v>
      </c>
      <c r="E5" t="s">
        <v>15</v>
      </c>
      <c r="F5" t="s">
        <v>16</v>
      </c>
      <c r="H5" s="1" t="s">
        <v>17</v>
      </c>
      <c r="J5" t="b">
        <v>0</v>
      </c>
      <c r="P5" s="5">
        <v>45570</v>
      </c>
      <c r="Q5" t="s">
        <v>18</v>
      </c>
      <c r="R5">
        <v>44.5</v>
      </c>
      <c r="T5" t="str" cm="1">
        <f t="array" ref="T5:U16">_xlfn._xlws.SORT(RacersT[[Racer]:[Time]],2)</f>
        <v>Zaine</v>
      </c>
      <c r="U5">
        <v>39.6</v>
      </c>
      <c r="W5" s="12" t="s">
        <v>59</v>
      </c>
      <c r="Y5" t="str" cm="1">
        <f t="array" ref="Y5:Y8">_xlfn.UNIQUE(_xlfn._xlws.SORT(RacersT[Racer]))</f>
        <v>Ella</v>
      </c>
      <c r="AE5" s="5">
        <v>45584</v>
      </c>
      <c r="AF5" s="5" t="s">
        <v>73</v>
      </c>
      <c r="AG5" t="s">
        <v>33</v>
      </c>
      <c r="AH5">
        <v>36.200000000000003</v>
      </c>
      <c r="AJ5" t="str" cm="1">
        <f t="array" ref="AJ5:AL26">_xlfn._xlws.SORT(RacersT4[[Track]:[Time]],{1,2,3})</f>
        <v>Everrett</v>
      </c>
      <c r="AK5" t="str">
        <v>Ella</v>
      </c>
      <c r="AL5">
        <v>46.9</v>
      </c>
      <c r="AN5" t="str" cm="1">
        <f t="array" ref="AN5:AP26">_xlfn._xlws.SORT(RacersT4[[Track]:[Time]],{1,2,3})</f>
        <v>Everrett</v>
      </c>
      <c r="AO5" t="str">
        <v>Ella</v>
      </c>
      <c r="AP5">
        <v>46.9</v>
      </c>
      <c r="AW5" t="s">
        <v>72</v>
      </c>
      <c r="AX5">
        <v>430</v>
      </c>
      <c r="AY5">
        <v>510</v>
      </c>
    </row>
    <row r="6" spans="2:51" x14ac:dyDescent="0.25">
      <c r="B6" s="4">
        <v>44060</v>
      </c>
      <c r="C6" t="s">
        <v>20</v>
      </c>
      <c r="D6">
        <v>302.58999999999997</v>
      </c>
      <c r="E6" t="s">
        <v>15</v>
      </c>
      <c r="F6" t="s">
        <v>21</v>
      </c>
      <c r="H6" t="s">
        <v>22</v>
      </c>
      <c r="J6" t="b">
        <v>1</v>
      </c>
      <c r="P6" s="5">
        <v>45570</v>
      </c>
      <c r="Q6" t="s">
        <v>23</v>
      </c>
      <c r="R6">
        <v>46.3</v>
      </c>
      <c r="T6" t="str">
        <v>Zaine</v>
      </c>
      <c r="U6">
        <v>40.5</v>
      </c>
      <c r="Y6" t="str">
        <v>Isaac</v>
      </c>
      <c r="AB6" s="1" t="str" cm="1">
        <f t="array" ref="AB6:AC10">_xlfn.GROUPBY(RacersT[[#All],[Racer]],RacersT[[#All],[Time]],_xleta.AVERAGE,3,0,2)</f>
        <v>Racer</v>
      </c>
      <c r="AC6" s="1" t="str">
        <v>Time</v>
      </c>
      <c r="AE6" s="5">
        <v>45584</v>
      </c>
      <c r="AF6" s="5" t="s">
        <v>73</v>
      </c>
      <c r="AG6" t="s">
        <v>33</v>
      </c>
      <c r="AH6">
        <v>35.700000000000003</v>
      </c>
      <c r="AJ6" t="str">
        <v>Everrett</v>
      </c>
      <c r="AK6" t="str">
        <v>Ella</v>
      </c>
      <c r="AL6">
        <v>48.6</v>
      </c>
      <c r="AN6" t="str">
        <v>Everrett</v>
      </c>
      <c r="AO6" t="str">
        <v>Ella</v>
      </c>
      <c r="AP6">
        <v>48.6</v>
      </c>
      <c r="AW6" t="s">
        <v>71</v>
      </c>
      <c r="AX6">
        <v>480</v>
      </c>
      <c r="AY6">
        <v>570</v>
      </c>
    </row>
    <row r="7" spans="2:51" x14ac:dyDescent="0.25">
      <c r="B7" s="4">
        <v>44231</v>
      </c>
      <c r="C7" t="s">
        <v>24</v>
      </c>
      <c r="D7">
        <v>161.85</v>
      </c>
      <c r="E7" t="s">
        <v>15</v>
      </c>
      <c r="F7" t="s">
        <v>25</v>
      </c>
      <c r="H7" t="s">
        <v>26</v>
      </c>
      <c r="J7" t="s">
        <v>27</v>
      </c>
      <c r="P7" s="5">
        <v>45570</v>
      </c>
      <c r="Q7" t="s">
        <v>28</v>
      </c>
      <c r="R7">
        <v>47.1</v>
      </c>
      <c r="T7" t="str">
        <v>Isaac</v>
      </c>
      <c r="U7">
        <v>42.9</v>
      </c>
      <c r="W7" t="s">
        <v>61</v>
      </c>
      <c r="Y7" t="str">
        <v>Magic</v>
      </c>
      <c r="AB7" t="str">
        <v>Zaine</v>
      </c>
      <c r="AC7" s="13">
        <v>41.199999999999996</v>
      </c>
      <c r="AE7" s="5">
        <v>45584</v>
      </c>
      <c r="AF7" s="5" t="s">
        <v>73</v>
      </c>
      <c r="AG7" t="s">
        <v>28</v>
      </c>
      <c r="AH7">
        <v>33.1</v>
      </c>
      <c r="AJ7" t="str">
        <v>Everrett</v>
      </c>
      <c r="AK7" t="str">
        <v>Ella</v>
      </c>
      <c r="AL7">
        <v>49.4</v>
      </c>
      <c r="AN7" t="str">
        <v>Everrett</v>
      </c>
      <c r="AO7" t="str">
        <v>Ella</v>
      </c>
      <c r="AP7">
        <v>49.4</v>
      </c>
      <c r="AW7" t="s">
        <v>74</v>
      </c>
      <c r="AX7">
        <v>420</v>
      </c>
      <c r="AY7">
        <v>520</v>
      </c>
    </row>
    <row r="8" spans="2:51" x14ac:dyDescent="0.25">
      <c r="B8" s="4">
        <v>44487</v>
      </c>
      <c r="C8" t="s">
        <v>20</v>
      </c>
      <c r="D8">
        <v>228.23</v>
      </c>
      <c r="E8" t="s">
        <v>29</v>
      </c>
      <c r="F8" t="s">
        <v>30</v>
      </c>
      <c r="H8" t="s">
        <v>31</v>
      </c>
      <c r="J8" t="s">
        <v>32</v>
      </c>
      <c r="P8" s="5">
        <v>45570</v>
      </c>
      <c r="Q8" t="s">
        <v>33</v>
      </c>
      <c r="R8">
        <v>43.5</v>
      </c>
      <c r="T8" t="str">
        <v>Isaac</v>
      </c>
      <c r="U8">
        <v>43.2</v>
      </c>
      <c r="W8" s="6" t="s">
        <v>19</v>
      </c>
      <c r="Y8" t="str">
        <v>Zaine</v>
      </c>
      <c r="AB8" t="str">
        <v>Isaac</v>
      </c>
      <c r="AC8" s="13">
        <v>43.533333333333339</v>
      </c>
      <c r="AE8" s="5">
        <v>45584</v>
      </c>
      <c r="AF8" s="5" t="s">
        <v>73</v>
      </c>
      <c r="AG8" t="s">
        <v>28</v>
      </c>
      <c r="AH8">
        <v>38.799999999999997</v>
      </c>
      <c r="AJ8" t="str">
        <v>Everrett</v>
      </c>
      <c r="AK8" t="str">
        <v>Ella</v>
      </c>
      <c r="AL8">
        <v>49.6</v>
      </c>
      <c r="AN8" t="str">
        <v>Everrett</v>
      </c>
      <c r="AO8" t="str">
        <v>Ella</v>
      </c>
      <c r="AP8">
        <v>49.6</v>
      </c>
    </row>
    <row r="9" spans="2:51" x14ac:dyDescent="0.25">
      <c r="B9" s="4">
        <v>44298</v>
      </c>
      <c r="C9" t="s">
        <v>35</v>
      </c>
      <c r="D9">
        <v>390.62</v>
      </c>
      <c r="E9" t="s">
        <v>29</v>
      </c>
      <c r="F9" t="s">
        <v>21</v>
      </c>
      <c r="H9" t="s">
        <v>36</v>
      </c>
      <c r="P9" s="5">
        <v>45577</v>
      </c>
      <c r="Q9" t="s">
        <v>18</v>
      </c>
      <c r="R9">
        <v>42.9</v>
      </c>
      <c r="T9" t="str">
        <v>Zaine</v>
      </c>
      <c r="U9">
        <v>43.5</v>
      </c>
      <c r="AB9" t="str">
        <v>Magic</v>
      </c>
      <c r="AC9" s="13">
        <v>44.666666666666664</v>
      </c>
      <c r="AE9" s="5">
        <v>45570</v>
      </c>
      <c r="AF9" s="5" t="s">
        <v>72</v>
      </c>
      <c r="AG9" t="s">
        <v>23</v>
      </c>
      <c r="AH9">
        <v>43.1</v>
      </c>
      <c r="AJ9" t="str">
        <v>Everrett</v>
      </c>
      <c r="AK9" t="str">
        <v>Zaine</v>
      </c>
      <c r="AL9">
        <v>43</v>
      </c>
      <c r="AN9" t="str">
        <v>Everrett</v>
      </c>
      <c r="AO9" t="str">
        <v>Zaine</v>
      </c>
      <c r="AP9">
        <v>43</v>
      </c>
    </row>
    <row r="10" spans="2:51" x14ac:dyDescent="0.25">
      <c r="B10" s="7">
        <v>44387</v>
      </c>
      <c r="C10" s="8" t="s">
        <v>20</v>
      </c>
      <c r="D10" s="8">
        <v>1352.41</v>
      </c>
      <c r="E10" s="8" t="s">
        <v>37</v>
      </c>
      <c r="F10" s="8" t="s">
        <v>30</v>
      </c>
      <c r="H10" t="s">
        <v>38</v>
      </c>
      <c r="J10" s="9" t="s">
        <v>39</v>
      </c>
      <c r="P10" s="5">
        <v>45577</v>
      </c>
      <c r="Q10" t="s">
        <v>23</v>
      </c>
      <c r="R10">
        <v>43.6</v>
      </c>
      <c r="T10" t="str">
        <v>Magic</v>
      </c>
      <c r="U10">
        <v>43.6</v>
      </c>
      <c r="W10" t="s">
        <v>62</v>
      </c>
      <c r="AB10" t="str">
        <v>Ella</v>
      </c>
      <c r="AC10" s="13">
        <v>45.4</v>
      </c>
      <c r="AE10" s="5">
        <v>45570</v>
      </c>
      <c r="AF10" s="5" t="s">
        <v>72</v>
      </c>
      <c r="AG10" t="s">
        <v>23</v>
      </c>
      <c r="AH10">
        <v>44.8</v>
      </c>
      <c r="AJ10" t="str">
        <v>Everrett</v>
      </c>
      <c r="AK10" t="str">
        <v>Zaine</v>
      </c>
      <c r="AL10">
        <v>46.6</v>
      </c>
      <c r="AN10" t="str">
        <v>Everrett</v>
      </c>
      <c r="AO10" t="str">
        <v>Zaine</v>
      </c>
      <c r="AP10">
        <v>46.6</v>
      </c>
    </row>
    <row r="11" spans="2:51" x14ac:dyDescent="0.25">
      <c r="B11" s="4">
        <v>43969</v>
      </c>
      <c r="C11" t="s">
        <v>35</v>
      </c>
      <c r="D11">
        <v>464.43</v>
      </c>
      <c r="E11" t="s">
        <v>37</v>
      </c>
      <c r="F11" t="s">
        <v>25</v>
      </c>
      <c r="H11" t="s">
        <v>40</v>
      </c>
      <c r="J11" s="10">
        <v>25</v>
      </c>
      <c r="P11" s="5">
        <v>45577</v>
      </c>
      <c r="Q11" t="s">
        <v>28</v>
      </c>
      <c r="R11">
        <v>43.8</v>
      </c>
      <c r="T11" t="str">
        <v>Ella</v>
      </c>
      <c r="U11">
        <v>43.8</v>
      </c>
      <c r="W11" s="6" t="s">
        <v>34</v>
      </c>
      <c r="AE11" s="5">
        <v>45570</v>
      </c>
      <c r="AF11" s="5" t="s">
        <v>72</v>
      </c>
      <c r="AG11" t="s">
        <v>23</v>
      </c>
      <c r="AH11">
        <v>47.4</v>
      </c>
      <c r="AJ11" t="str">
        <v>Everrett</v>
      </c>
      <c r="AK11" t="str">
        <v>Zaine</v>
      </c>
      <c r="AL11">
        <v>46.8</v>
      </c>
      <c r="AN11" t="str">
        <v>Everrett</v>
      </c>
      <c r="AO11" t="str">
        <v>Zaine</v>
      </c>
      <c r="AP11">
        <v>46.8</v>
      </c>
    </row>
    <row r="12" spans="2:51" x14ac:dyDescent="0.25">
      <c r="B12" s="4">
        <v>44098</v>
      </c>
      <c r="C12" t="s">
        <v>35</v>
      </c>
      <c r="D12">
        <v>407.91</v>
      </c>
      <c r="E12" t="s">
        <v>37</v>
      </c>
      <c r="F12" t="s">
        <v>30</v>
      </c>
      <c r="H12" t="s">
        <v>42</v>
      </c>
      <c r="J12" s="10" t="s">
        <v>43</v>
      </c>
      <c r="P12" s="5">
        <v>45577</v>
      </c>
      <c r="Q12" t="s">
        <v>33</v>
      </c>
      <c r="R12">
        <v>40.5</v>
      </c>
      <c r="T12" t="str">
        <v>Magic</v>
      </c>
      <c r="U12">
        <v>44.1</v>
      </c>
      <c r="AE12" s="5">
        <v>45570</v>
      </c>
      <c r="AF12" s="5" t="s">
        <v>72</v>
      </c>
      <c r="AG12" t="s">
        <v>18</v>
      </c>
      <c r="AH12">
        <v>41.8</v>
      </c>
      <c r="AJ12" t="str">
        <v>Port Orchard</v>
      </c>
      <c r="AK12" t="str">
        <v>Ella</v>
      </c>
      <c r="AL12">
        <v>33.1</v>
      </c>
      <c r="AN12" t="str">
        <v>Port Orchard</v>
      </c>
      <c r="AO12" t="str">
        <v>Ella</v>
      </c>
      <c r="AP12">
        <v>33.1</v>
      </c>
      <c r="AX12">
        <v>10</v>
      </c>
    </row>
    <row r="13" spans="2:51" x14ac:dyDescent="0.25">
      <c r="B13" s="4">
        <v>44525</v>
      </c>
      <c r="C13" t="s">
        <v>20</v>
      </c>
      <c r="D13">
        <v>321.89999999999998</v>
      </c>
      <c r="E13" t="s">
        <v>15</v>
      </c>
      <c r="F13" t="s">
        <v>44</v>
      </c>
      <c r="H13" t="s">
        <v>45</v>
      </c>
      <c r="J13" s="10"/>
      <c r="P13" s="5">
        <v>45584</v>
      </c>
      <c r="Q13" t="s">
        <v>18</v>
      </c>
      <c r="R13">
        <v>43.2</v>
      </c>
      <c r="T13" t="str">
        <v>Isaac</v>
      </c>
      <c r="U13">
        <v>44.5</v>
      </c>
      <c r="W13" t="s">
        <v>63</v>
      </c>
      <c r="AB13" s="1" t="s">
        <v>67</v>
      </c>
      <c r="AE13" s="5">
        <v>45570</v>
      </c>
      <c r="AF13" s="5" t="s">
        <v>72</v>
      </c>
      <c r="AG13" t="s">
        <v>18</v>
      </c>
      <c r="AH13">
        <v>48.9</v>
      </c>
      <c r="AJ13" t="str">
        <v>Port Orchard</v>
      </c>
      <c r="AK13" t="str">
        <v>Ella</v>
      </c>
      <c r="AL13">
        <v>38.799999999999997</v>
      </c>
      <c r="AN13" t="str">
        <v>Port Orchard</v>
      </c>
      <c r="AO13" t="str">
        <v>Ella</v>
      </c>
      <c r="AP13">
        <v>38.799999999999997</v>
      </c>
    </row>
    <row r="14" spans="2:51" x14ac:dyDescent="0.25">
      <c r="B14" s="4">
        <v>44454</v>
      </c>
      <c r="C14" t="s">
        <v>20</v>
      </c>
      <c r="D14">
        <v>159.28</v>
      </c>
      <c r="E14" t="s">
        <v>37</v>
      </c>
      <c r="F14" t="s">
        <v>25</v>
      </c>
      <c r="H14" t="s">
        <v>46</v>
      </c>
      <c r="J14" s="10">
        <v>23</v>
      </c>
      <c r="P14" s="5">
        <v>45584</v>
      </c>
      <c r="Q14" t="s">
        <v>23</v>
      </c>
      <c r="R14">
        <v>44.1</v>
      </c>
      <c r="T14" t="str">
        <v>Ella</v>
      </c>
      <c r="U14">
        <v>45.3</v>
      </c>
      <c r="W14" s="6" t="s">
        <v>56</v>
      </c>
      <c r="AE14" s="5">
        <v>45595</v>
      </c>
      <c r="AF14" s="5" t="s">
        <v>71</v>
      </c>
      <c r="AG14" t="s">
        <v>58</v>
      </c>
      <c r="AH14">
        <v>50.2</v>
      </c>
      <c r="AJ14" t="str">
        <v>Port Orchard</v>
      </c>
      <c r="AK14" t="str">
        <v>Zaine</v>
      </c>
      <c r="AL14">
        <v>35.700000000000003</v>
      </c>
      <c r="AN14" t="str">
        <v>Port Orchard</v>
      </c>
      <c r="AO14" t="str">
        <v>Zaine</v>
      </c>
      <c r="AP14">
        <v>35.700000000000003</v>
      </c>
    </row>
    <row r="15" spans="2:51" x14ac:dyDescent="0.25">
      <c r="B15" s="4">
        <v>44507</v>
      </c>
      <c r="C15" t="s">
        <v>14</v>
      </c>
      <c r="D15">
        <v>1413.34</v>
      </c>
      <c r="E15" t="s">
        <v>37</v>
      </c>
      <c r="F15" t="s">
        <v>47</v>
      </c>
      <c r="H15" t="s">
        <v>48</v>
      </c>
      <c r="J15" s="10">
        <v>23</v>
      </c>
      <c r="P15" s="5">
        <v>45584</v>
      </c>
      <c r="Q15" t="s">
        <v>28</v>
      </c>
      <c r="R15">
        <v>45.3</v>
      </c>
      <c r="T15" t="str">
        <v>Magic</v>
      </c>
      <c r="U15">
        <v>46.3</v>
      </c>
      <c r="AB15" s="1" t="str" cm="1">
        <f t="array" ref="AB15:AC19">_xlfn.GROUPBY(RacersT[[#All],[Racer]],RacersT[[#All],[Time]],_xleta.MIN,3,0,2)</f>
        <v>Racer</v>
      </c>
      <c r="AC15" s="1" t="str">
        <v>Time</v>
      </c>
      <c r="AE15" s="5">
        <v>45595</v>
      </c>
      <c r="AF15" s="5" t="s">
        <v>71</v>
      </c>
      <c r="AG15" t="s">
        <v>23</v>
      </c>
      <c r="AH15">
        <v>53.8</v>
      </c>
      <c r="AJ15" t="str">
        <v>Port Orchard</v>
      </c>
      <c r="AK15" t="str">
        <v>Zaine</v>
      </c>
      <c r="AL15">
        <v>36.200000000000003</v>
      </c>
      <c r="AN15" t="str">
        <v>Port Orchard</v>
      </c>
      <c r="AO15" t="str">
        <v>Zaine</v>
      </c>
      <c r="AP15">
        <v>36.200000000000003</v>
      </c>
    </row>
    <row r="16" spans="2:51" x14ac:dyDescent="0.25">
      <c r="B16" s="4">
        <v>44451</v>
      </c>
      <c r="C16" t="s">
        <v>20</v>
      </c>
      <c r="D16">
        <v>379.22</v>
      </c>
      <c r="E16" t="s">
        <v>29</v>
      </c>
      <c r="F16" t="s">
        <v>21</v>
      </c>
      <c r="J16" s="10" t="s">
        <v>49</v>
      </c>
      <c r="P16" s="5">
        <v>45584</v>
      </c>
      <c r="Q16" t="s">
        <v>33</v>
      </c>
      <c r="R16">
        <v>39.6</v>
      </c>
      <c r="T16" t="str">
        <v>Ella</v>
      </c>
      <c r="U16">
        <v>47.1</v>
      </c>
      <c r="W16" t="s">
        <v>64</v>
      </c>
      <c r="AB16" t="str">
        <v>Zaine</v>
      </c>
      <c r="AC16" s="13">
        <v>39.6</v>
      </c>
      <c r="AE16" s="5">
        <v>45595</v>
      </c>
      <c r="AF16" s="5" t="s">
        <v>71</v>
      </c>
      <c r="AG16" t="s">
        <v>18</v>
      </c>
      <c r="AH16">
        <v>53</v>
      </c>
      <c r="AJ16" t="str">
        <v>SeaTac</v>
      </c>
      <c r="AK16" t="str">
        <v>Isaac</v>
      </c>
      <c r="AL16">
        <v>41.8</v>
      </c>
      <c r="AN16" t="str">
        <v>SeaTac</v>
      </c>
      <c r="AO16" t="str">
        <v>Isaac</v>
      </c>
      <c r="AP16">
        <v>41.8</v>
      </c>
    </row>
    <row r="17" spans="2:42" x14ac:dyDescent="0.25">
      <c r="B17" s="4">
        <v>44211</v>
      </c>
      <c r="C17" t="s">
        <v>50</v>
      </c>
      <c r="D17">
        <v>473.77</v>
      </c>
      <c r="E17" t="s">
        <v>15</v>
      </c>
      <c r="F17" t="s">
        <v>21</v>
      </c>
      <c r="J17" s="10"/>
      <c r="W17" s="6" t="s">
        <v>57</v>
      </c>
      <c r="AB17" t="str">
        <v>Isaac</v>
      </c>
      <c r="AC17" s="13">
        <v>42.9</v>
      </c>
      <c r="AE17" s="5">
        <v>45595</v>
      </c>
      <c r="AF17" s="5" t="s">
        <v>71</v>
      </c>
      <c r="AG17" t="s">
        <v>23</v>
      </c>
      <c r="AH17">
        <v>49.9</v>
      </c>
      <c r="AJ17" t="str">
        <v>SeaTac</v>
      </c>
      <c r="AK17" t="str">
        <v>Isaac</v>
      </c>
      <c r="AL17">
        <v>48.9</v>
      </c>
      <c r="AN17" t="str">
        <v>SeaTac</v>
      </c>
      <c r="AO17" t="str">
        <v>Isaac</v>
      </c>
      <c r="AP17">
        <v>48.9</v>
      </c>
    </row>
    <row r="18" spans="2:42" x14ac:dyDescent="0.25">
      <c r="B18" s="4">
        <v>44228</v>
      </c>
      <c r="C18" t="s">
        <v>50</v>
      </c>
      <c r="D18">
        <v>345.92</v>
      </c>
      <c r="E18" t="s">
        <v>15</v>
      </c>
      <c r="F18" t="s">
        <v>16</v>
      </c>
      <c r="J18" s="10" t="e">
        <f>NA()</f>
        <v>#N/A</v>
      </c>
      <c r="AB18" t="str">
        <v>Magic</v>
      </c>
      <c r="AC18" s="13">
        <v>43.6</v>
      </c>
      <c r="AE18" s="5">
        <v>45595</v>
      </c>
      <c r="AF18" s="5" t="s">
        <v>71</v>
      </c>
      <c r="AG18" t="s">
        <v>58</v>
      </c>
      <c r="AH18">
        <v>47.9</v>
      </c>
      <c r="AJ18" t="str">
        <v>SeaTac</v>
      </c>
      <c r="AK18" t="str">
        <v>Magic</v>
      </c>
      <c r="AL18">
        <v>43.1</v>
      </c>
      <c r="AN18" t="str">
        <v>SeaTac</v>
      </c>
      <c r="AO18" t="str">
        <v>Magic</v>
      </c>
      <c r="AP18">
        <v>43.1</v>
      </c>
    </row>
    <row r="19" spans="2:42" x14ac:dyDescent="0.25">
      <c r="B19" s="4">
        <v>44411</v>
      </c>
      <c r="C19" t="s">
        <v>24</v>
      </c>
      <c r="D19">
        <v>497.49</v>
      </c>
      <c r="E19" t="s">
        <v>37</v>
      </c>
      <c r="F19" t="s">
        <v>30</v>
      </c>
      <c r="J19" s="10" t="e">
        <f>10/0</f>
        <v>#DIV/0!</v>
      </c>
      <c r="W19" t="s">
        <v>65</v>
      </c>
      <c r="AB19" t="str">
        <v>Ella</v>
      </c>
      <c r="AC19" s="13">
        <v>43.8</v>
      </c>
      <c r="AE19" s="5">
        <v>45595</v>
      </c>
      <c r="AF19" s="5" t="s">
        <v>71</v>
      </c>
      <c r="AG19" t="s">
        <v>58</v>
      </c>
      <c r="AH19">
        <v>49.1</v>
      </c>
      <c r="AJ19" t="str">
        <v>SeaTac</v>
      </c>
      <c r="AK19" t="str">
        <v>Magic</v>
      </c>
      <c r="AL19">
        <v>44.8</v>
      </c>
      <c r="AN19" t="str">
        <v>SeaTac</v>
      </c>
      <c r="AO19" t="str">
        <v>Magic</v>
      </c>
      <c r="AP19">
        <v>44.8</v>
      </c>
    </row>
    <row r="20" spans="2:42" x14ac:dyDescent="0.25">
      <c r="B20" s="4">
        <v>44155</v>
      </c>
      <c r="C20" t="s">
        <v>51</v>
      </c>
      <c r="D20">
        <v>467.31</v>
      </c>
      <c r="E20" t="s">
        <v>29</v>
      </c>
      <c r="F20" t="s">
        <v>21</v>
      </c>
      <c r="J20" s="10"/>
      <c r="W20" s="11" t="s">
        <v>41</v>
      </c>
      <c r="AE20" s="5">
        <v>45566</v>
      </c>
      <c r="AF20" s="5" t="s">
        <v>74</v>
      </c>
      <c r="AG20" t="s">
        <v>28</v>
      </c>
      <c r="AH20">
        <v>46.9</v>
      </c>
      <c r="AJ20" t="str">
        <v>SeaTac</v>
      </c>
      <c r="AK20" t="str">
        <v>Magic</v>
      </c>
      <c r="AL20">
        <v>47.4</v>
      </c>
      <c r="AN20" t="str">
        <v>SeaTac</v>
      </c>
      <c r="AO20" t="str">
        <v>Magic</v>
      </c>
      <c r="AP20">
        <v>47.4</v>
      </c>
    </row>
    <row r="21" spans="2:42" x14ac:dyDescent="0.25">
      <c r="B21" s="4">
        <v>44175</v>
      </c>
      <c r="C21" t="s">
        <v>14</v>
      </c>
      <c r="D21">
        <v>761.01</v>
      </c>
      <c r="E21" t="s">
        <v>15</v>
      </c>
      <c r="F21" t="s">
        <v>44</v>
      </c>
      <c r="J21" s="10" t="b">
        <v>1</v>
      </c>
      <c r="AE21" s="5">
        <v>45566</v>
      </c>
      <c r="AF21" s="5" t="s">
        <v>74</v>
      </c>
      <c r="AG21" t="s">
        <v>33</v>
      </c>
      <c r="AH21">
        <v>46.6</v>
      </c>
      <c r="AJ21" t="str">
        <v>Sumner</v>
      </c>
      <c r="AK21" t="str">
        <v>Dr. D</v>
      </c>
      <c r="AL21">
        <v>47.9</v>
      </c>
      <c r="AN21" t="str">
        <v>Sumner</v>
      </c>
      <c r="AO21" t="str">
        <v>Dr. D</v>
      </c>
      <c r="AP21">
        <v>47.9</v>
      </c>
    </row>
    <row r="22" spans="2:42" x14ac:dyDescent="0.25">
      <c r="B22" s="4">
        <v>44065</v>
      </c>
      <c r="C22" t="s">
        <v>24</v>
      </c>
      <c r="D22">
        <v>393.04</v>
      </c>
      <c r="E22" t="s">
        <v>15</v>
      </c>
      <c r="F22" t="s">
        <v>16</v>
      </c>
      <c r="J22" s="10" t="b">
        <v>0</v>
      </c>
      <c r="P22" s="5">
        <v>45587</v>
      </c>
      <c r="Q22" t="s">
        <v>58</v>
      </c>
      <c r="R22">
        <v>36.700000000000003</v>
      </c>
      <c r="T22" s="14" t="s">
        <v>68</v>
      </c>
      <c r="Y22" s="14" t="s">
        <v>69</v>
      </c>
      <c r="AE22" s="5">
        <v>45566</v>
      </c>
      <c r="AF22" s="5" t="s">
        <v>74</v>
      </c>
      <c r="AG22" t="s">
        <v>28</v>
      </c>
      <c r="AH22">
        <v>48.6</v>
      </c>
      <c r="AJ22" t="str">
        <v>Sumner</v>
      </c>
      <c r="AK22" t="str">
        <v>Dr. D</v>
      </c>
      <c r="AL22">
        <v>49.1</v>
      </c>
      <c r="AN22" t="str">
        <v>Sumner</v>
      </c>
      <c r="AO22" t="str">
        <v>Dr. D</v>
      </c>
      <c r="AP22">
        <v>49.1</v>
      </c>
    </row>
    <row r="23" spans="2:42" x14ac:dyDescent="0.25">
      <c r="B23" s="4">
        <v>44525</v>
      </c>
      <c r="C23" t="s">
        <v>14</v>
      </c>
      <c r="D23">
        <v>127.24</v>
      </c>
      <c r="E23" t="s">
        <v>15</v>
      </c>
      <c r="F23" t="s">
        <v>30</v>
      </c>
      <c r="J23" s="10" t="s">
        <v>52</v>
      </c>
      <c r="P23" s="5">
        <v>45587</v>
      </c>
      <c r="Q23" t="s">
        <v>18</v>
      </c>
      <c r="R23">
        <v>36.9</v>
      </c>
      <c r="AE23" s="5">
        <v>45566</v>
      </c>
      <c r="AF23" s="5" t="s">
        <v>74</v>
      </c>
      <c r="AG23" t="s">
        <v>28</v>
      </c>
      <c r="AH23">
        <v>49.6</v>
      </c>
      <c r="AJ23" t="str">
        <v>Sumner</v>
      </c>
      <c r="AK23" t="str">
        <v>Dr. D</v>
      </c>
      <c r="AL23">
        <v>50.2</v>
      </c>
      <c r="AN23" t="str">
        <v>Sumner</v>
      </c>
      <c r="AO23" t="str">
        <v>Dr. D</v>
      </c>
      <c r="AP23">
        <v>50.2</v>
      </c>
    </row>
    <row r="24" spans="2:42" x14ac:dyDescent="0.25">
      <c r="B24" s="4">
        <v>44391</v>
      </c>
      <c r="C24" t="s">
        <v>14</v>
      </c>
      <c r="D24">
        <v>465.01</v>
      </c>
      <c r="E24" t="s">
        <v>53</v>
      </c>
      <c r="F24" t="s">
        <v>25</v>
      </c>
      <c r="P24" s="5">
        <v>45587</v>
      </c>
      <c r="Q24" t="s">
        <v>23</v>
      </c>
      <c r="R24">
        <v>40</v>
      </c>
      <c r="T24" s="2" t="s">
        <v>12</v>
      </c>
      <c r="U24" s="3" t="s">
        <v>13</v>
      </c>
      <c r="Y24" s="1" t="s">
        <v>55</v>
      </c>
      <c r="AE24" s="5">
        <v>45566</v>
      </c>
      <c r="AF24" s="5" t="s">
        <v>74</v>
      </c>
      <c r="AG24" t="s">
        <v>33</v>
      </c>
      <c r="AH24">
        <v>46.8</v>
      </c>
      <c r="AJ24" t="str">
        <v>Sumner</v>
      </c>
      <c r="AK24" t="str">
        <v>Isaac</v>
      </c>
      <c r="AL24">
        <v>53</v>
      </c>
      <c r="AN24" t="str">
        <v>Sumner</v>
      </c>
      <c r="AO24" t="str">
        <v>Isaac</v>
      </c>
      <c r="AP24">
        <v>53</v>
      </c>
    </row>
    <row r="25" spans="2:42" x14ac:dyDescent="0.25">
      <c r="B25" s="4">
        <v>44308</v>
      </c>
      <c r="C25" t="s">
        <v>24</v>
      </c>
      <c r="D25">
        <v>145.93</v>
      </c>
      <c r="E25" t="s">
        <v>43</v>
      </c>
      <c r="F25" t="s">
        <v>30</v>
      </c>
      <c r="P25" s="5">
        <v>45587</v>
      </c>
      <c r="Q25" t="s">
        <v>28</v>
      </c>
      <c r="R25">
        <v>41.2</v>
      </c>
      <c r="T25" t="str" cm="1">
        <f t="array" ref="T25:U36">_xlfn._xlws.SORT(RacersT[[Racer]:[Time]],2)</f>
        <v>Zaine</v>
      </c>
      <c r="U25">
        <v>39.6</v>
      </c>
      <c r="Y25" t="str" cm="1">
        <f t="array" ref="Y25:Y28">_xlfn.UNIQUE(_xlfn._xlws.SORT(RacersT[Racer]))</f>
        <v>Ella</v>
      </c>
      <c r="AE25" s="5">
        <v>45566</v>
      </c>
      <c r="AF25" s="5" t="s">
        <v>74</v>
      </c>
      <c r="AG25" t="s">
        <v>33</v>
      </c>
      <c r="AH25">
        <v>43</v>
      </c>
      <c r="AJ25" t="str">
        <v>Sumner</v>
      </c>
      <c r="AK25" t="str">
        <v>Magic</v>
      </c>
      <c r="AL25">
        <v>49.9</v>
      </c>
      <c r="AN25" t="str">
        <v>Sumner</v>
      </c>
      <c r="AO25" t="str">
        <v>Magic</v>
      </c>
      <c r="AP25">
        <v>49.9</v>
      </c>
    </row>
    <row r="26" spans="2:42" x14ac:dyDescent="0.25">
      <c r="B26" s="4">
        <v>44277</v>
      </c>
      <c r="C26" t="s">
        <v>51</v>
      </c>
      <c r="D26">
        <v>367.31</v>
      </c>
      <c r="E26" t="s">
        <v>29</v>
      </c>
      <c r="F26" t="s">
        <v>30</v>
      </c>
      <c r="P26" s="5">
        <v>45587</v>
      </c>
      <c r="Q26" t="s">
        <v>33</v>
      </c>
      <c r="R26">
        <v>39.1</v>
      </c>
      <c r="T26" t="str">
        <v>Zaine</v>
      </c>
      <c r="U26">
        <v>40.5</v>
      </c>
      <c r="Y26" t="str">
        <v>Isaac</v>
      </c>
      <c r="AE26" s="5">
        <v>45566</v>
      </c>
      <c r="AF26" s="5" t="s">
        <v>74</v>
      </c>
      <c r="AG26" t="s">
        <v>28</v>
      </c>
      <c r="AH26">
        <v>49.4</v>
      </c>
      <c r="AJ26" t="str">
        <v>Sumner</v>
      </c>
      <c r="AK26" t="str">
        <v>Magic</v>
      </c>
      <c r="AL26">
        <v>53.8</v>
      </c>
      <c r="AN26" t="str">
        <v>Sumner</v>
      </c>
      <c r="AO26" t="str">
        <v>Magic</v>
      </c>
      <c r="AP26">
        <v>53.8</v>
      </c>
    </row>
    <row r="27" spans="2:42" x14ac:dyDescent="0.25">
      <c r="B27" s="4">
        <v>44211</v>
      </c>
      <c r="C27" t="s">
        <v>24</v>
      </c>
      <c r="D27">
        <v>316.73</v>
      </c>
      <c r="E27" t="s">
        <v>43</v>
      </c>
      <c r="F27" t="s">
        <v>47</v>
      </c>
      <c r="T27" t="str">
        <v>Isaac</v>
      </c>
      <c r="U27">
        <v>42.9</v>
      </c>
      <c r="Y27" t="str">
        <v>Magic</v>
      </c>
    </row>
    <row r="28" spans="2:42" x14ac:dyDescent="0.25">
      <c r="B28" s="4">
        <v>44235</v>
      </c>
      <c r="C28" t="s">
        <v>50</v>
      </c>
      <c r="D28">
        <v>491.44</v>
      </c>
      <c r="E28" t="s">
        <v>43</v>
      </c>
      <c r="F28" t="s">
        <v>30</v>
      </c>
      <c r="P28" s="5">
        <v>45591</v>
      </c>
      <c r="Q28" t="s">
        <v>58</v>
      </c>
      <c r="R28">
        <v>39.1</v>
      </c>
      <c r="T28" t="str">
        <v>Isaac</v>
      </c>
      <c r="U28">
        <v>43.2</v>
      </c>
      <c r="Y28" t="str">
        <v>Zaine</v>
      </c>
    </row>
    <row r="29" spans="2:42" x14ac:dyDescent="0.25">
      <c r="B29" s="4">
        <v>44124</v>
      </c>
      <c r="C29" t="s">
        <v>14</v>
      </c>
      <c r="D29">
        <v>424.32</v>
      </c>
      <c r="E29" t="s">
        <v>37</v>
      </c>
      <c r="F29" t="s">
        <v>30</v>
      </c>
      <c r="P29" s="5">
        <v>45591</v>
      </c>
      <c r="Q29" t="s">
        <v>18</v>
      </c>
      <c r="R29">
        <v>40.9</v>
      </c>
      <c r="T29" t="str">
        <v>Zaine</v>
      </c>
      <c r="U29">
        <v>43.5</v>
      </c>
    </row>
    <row r="30" spans="2:42" x14ac:dyDescent="0.25">
      <c r="B30" s="4">
        <v>44315</v>
      </c>
      <c r="C30" t="s">
        <v>14</v>
      </c>
      <c r="D30">
        <v>470.67</v>
      </c>
      <c r="E30" t="s">
        <v>15</v>
      </c>
      <c r="F30" t="s">
        <v>30</v>
      </c>
      <c r="P30" s="5">
        <v>45591</v>
      </c>
      <c r="Q30" t="s">
        <v>23</v>
      </c>
      <c r="R30">
        <v>41.5</v>
      </c>
      <c r="T30" t="str">
        <v>Magic</v>
      </c>
      <c r="U30">
        <v>43.6</v>
      </c>
    </row>
    <row r="31" spans="2:42" x14ac:dyDescent="0.25">
      <c r="B31" s="4">
        <v>44012</v>
      </c>
      <c r="C31" t="s">
        <v>24</v>
      </c>
      <c r="D31">
        <v>453.92</v>
      </c>
      <c r="E31" t="s">
        <v>29</v>
      </c>
      <c r="F31" t="s">
        <v>25</v>
      </c>
      <c r="P31" s="5">
        <v>45591</v>
      </c>
      <c r="Q31" t="s">
        <v>28</v>
      </c>
      <c r="R31">
        <v>41.6</v>
      </c>
      <c r="T31" t="str">
        <v>Ella</v>
      </c>
      <c r="U31">
        <v>43.8</v>
      </c>
    </row>
    <row r="32" spans="2:42" x14ac:dyDescent="0.25">
      <c r="B32" s="4">
        <v>44249</v>
      </c>
      <c r="C32" t="s">
        <v>24</v>
      </c>
      <c r="D32">
        <v>412.46</v>
      </c>
      <c r="E32" t="s">
        <v>43</v>
      </c>
      <c r="F32" t="s">
        <v>16</v>
      </c>
      <c r="P32" s="5">
        <v>45591</v>
      </c>
      <c r="Q32" t="s">
        <v>33</v>
      </c>
      <c r="R32">
        <v>38.700000000000003</v>
      </c>
      <c r="T32" t="str">
        <v>Magic</v>
      </c>
      <c r="U32">
        <v>44.1</v>
      </c>
    </row>
    <row r="33" spans="2:21" x14ac:dyDescent="0.25">
      <c r="B33" s="4">
        <v>44485</v>
      </c>
      <c r="C33" t="s">
        <v>24</v>
      </c>
      <c r="D33">
        <v>446.14</v>
      </c>
      <c r="E33" t="s">
        <v>43</v>
      </c>
      <c r="F33" t="s">
        <v>30</v>
      </c>
      <c r="T33" t="str">
        <v>Isaac</v>
      </c>
      <c r="U33">
        <v>44.5</v>
      </c>
    </row>
    <row r="34" spans="2:21" x14ac:dyDescent="0.25">
      <c r="T34" t="str">
        <v>Ella</v>
      </c>
      <c r="U34">
        <v>45.3</v>
      </c>
    </row>
    <row r="35" spans="2:21" x14ac:dyDescent="0.25">
      <c r="T35" t="str">
        <v>Magic</v>
      </c>
      <c r="U35">
        <v>46.3</v>
      </c>
    </row>
    <row r="36" spans="2:21" x14ac:dyDescent="0.25">
      <c r="T36" t="str">
        <v>Ella</v>
      </c>
      <c r="U36">
        <v>47.1</v>
      </c>
    </row>
  </sheetData>
  <sortState xmlns:xlrd2="http://schemas.microsoft.com/office/spreadsheetml/2017/richdata2" ref="J16">
    <sortCondition ref="J14:J16"/>
  </sortState>
  <conditionalFormatting sqref="T5:U21 T25:U37">
    <cfRule type="notContainsBlanks" dxfId="2" priority="3">
      <formula>LEN(TRIM(T5))&gt;0</formula>
    </cfRule>
  </conditionalFormatting>
  <conditionalFormatting sqref="AJ5:AL51">
    <cfRule type="notContainsBlanks" dxfId="1" priority="2">
      <formula>LEN(TRIM(AJ5))&gt;0</formula>
    </cfRule>
  </conditionalFormatting>
  <conditionalFormatting sqref="AN5:AP40">
    <cfRule type="notContainsBlanks" dxfId="0" priority="1">
      <formula>LEN(TRIM(AN5))&gt;0</formula>
    </cfRule>
  </conditionalFormatting>
  <printOptions headings="1"/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EB10-SORT</vt:lpstr>
      <vt:lpstr>'EB10-SORT'!Print_Area</vt:lpstr>
    </vt:vector>
  </TitlesOfParts>
  <Company>Highline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Randy Hernandez</cp:lastModifiedBy>
  <dcterms:created xsi:type="dcterms:W3CDTF">2025-04-01T18:26:44Z</dcterms:created>
  <dcterms:modified xsi:type="dcterms:W3CDTF">2026-09-25T21:11:10Z</dcterms:modified>
</cp:coreProperties>
</file>