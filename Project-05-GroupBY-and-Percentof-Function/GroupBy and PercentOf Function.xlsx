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hidePivotFieldList="1"/>
  <mc:AlternateContent xmlns:mc="http://schemas.openxmlformats.org/markup-compatibility/2006">
    <mc:Choice Requires="x15">
      <x15ac:absPath xmlns:x15ac="http://schemas.microsoft.com/office/spreadsheetml/2010/11/ac" url="C:\Users\Juvi\Desktop\MyExcelBasicsClass\MECS04DownloadFiles\"/>
    </mc:Choice>
  </mc:AlternateContent>
  <xr:revisionPtr revIDLastSave="0" documentId="8_{0A1D9DCB-952C-485E-8DCD-B7367C4DD381}" xr6:coauthVersionLast="47" xr6:coauthVersionMax="47" xr10:uidLastSave="{00000000-0000-0000-0000-000000000000}"/>
  <bookViews>
    <workbookView xWindow="-120" yWindow="-120" windowWidth="29040" windowHeight="15720" firstSheet="1" activeTab="2" xr2:uid="{00000000-000D-0000-FFFF-FFFF00000000}"/>
  </bookViews>
  <sheets>
    <sheet name="EB(10-2)" sheetId="5" r:id="rId1"/>
    <sheet name="EB10-GROUPBY" sheetId="1" r:id="rId2"/>
    <sheet name="HW(1)" sheetId="7" r:id="rId3"/>
  </sheets>
  <externalReferences>
    <externalReference r:id="rId4"/>
    <externalReference r:id="rId5"/>
    <externalReference r:id="rId6"/>
  </externalReferences>
  <definedNames>
    <definedName name="_xlpm.currTbl" hidden="1">#NAME?</definedName>
    <definedName name="_xlpm.rng" hidden="1">#NAME?</definedName>
    <definedName name="_xlpm.row" hidden="1">#NAME?</definedName>
    <definedName name="_xlpm.start" hidden="1">#NAME?</definedName>
    <definedName name="ByRowOrByCol">_xlfn.LAMBDA(_xlpm.array,_xlpm.function,_xlop.direction,IF(_xlpm.direction,_xlfn.BYCOL(_xlpm.array,_xlpm.function),_xlfn.BYROW(_xlpm.array,_xlpm.function)))</definedName>
    <definedName name="FilterContext">[1]!FilterContext2[#Data]</definedName>
    <definedName name="HouC">[2]Intro!$D$4:$D$17</definedName>
    <definedName name="Hours">[2]LAMBDA!$E$13:$E$26</definedName>
    <definedName name="HoursWorked">[3]GB!$D$3:$D$19</definedName>
    <definedName name="ShowFormulas" comment="Enter reference to a cell or range to show formulas." localSheetId="0">_xlfn.LAMBDA(_xlpm.Reference,_xlfn.LET(_xlpm.c,_xlpm.Reference,IFERROR(_xlfn.TOCOL(ADDRESS(ROW(_xlpm.c),COLUMN(_xlpm.c),4)&amp;": "&amp;_xlfn.FORMULATEXT(_xlpm.c),3),"")))</definedName>
    <definedName name="ShowFormulas">_xlfn.LAMBDA(_xlpm.Reference,_xlfn.LET(_xlpm.r,_xlpm.Reference,IFERROR(_xlfn.TOCOL(ADDRESS(ROW(_xlpm.r),COLUMN(_xlpm.r),4)&amp;": "&amp;_xlfn.FORMULATEXT(_xlpm.r),3),"")))</definedName>
    <definedName name="Vid">[2]LAMBDA!$D$13:$D$26</definedName>
    <definedName name="VidC">[2]Intro!$C$4:$C$17</definedName>
    <definedName name="Video">[3]GB!$C$3:$C$19</definedName>
  </definedNames>
  <calcPr calcId="191029"/>
  <pivotCaches>
    <pivotCache cacheId="0" r:id="rId7"/>
    <pivotCache cacheId="9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7" l="1" a="1"/>
  <c r="D3" i="7" a="1"/>
  <c r="E13" i="1" a="1"/>
  <c r="C5" i="1" a="1"/>
  <c r="L29" i="1" a="1"/>
  <c r="L23" i="1" a="1"/>
  <c r="L17" i="1" a="1"/>
  <c r="B12" i="5"/>
  <c r="O9" i="1" a="1"/>
  <c r="O11" i="1" s="1"/>
  <c r="N9" i="1" a="1"/>
  <c r="N11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<sst xmlns="http://schemas.openxmlformats.org/spreadsheetml/2006/main" count="244" uniqueCount="35">
  <si>
    <t>Example 4:</t>
  </si>
  <si>
    <t>Standard PivotTable with Summarize Values By and Show Values As calculations</t>
  </si>
  <si>
    <t>Survey Data</t>
  </si>
  <si>
    <t>Yes</t>
  </si>
  <si>
    <t>No</t>
  </si>
  <si>
    <t>Somewhat</t>
  </si>
  <si>
    <t>Grand Total</t>
  </si>
  <si>
    <t>Count</t>
  </si>
  <si>
    <t>% Count</t>
  </si>
  <si>
    <t>Survey Data: Count &amp; % Count:</t>
  </si>
  <si>
    <t>Total</t>
  </si>
  <si>
    <t>Product</t>
  </si>
  <si>
    <t>Sales</t>
  </si>
  <si>
    <t>Q</t>
  </si>
  <si>
    <t>S</t>
  </si>
  <si>
    <t>% of Total</t>
  </si>
  <si>
    <t>Solution: Survey Data: Count &amp; % Count:</t>
  </si>
  <si>
    <t>This what PERCENTOF function does (it uses the SUM function):</t>
  </si>
  <si>
    <t>2)</t>
  </si>
  <si>
    <t>X</t>
  </si>
  <si>
    <t>MS 365 Excel Basics 08: Introduction to Excel Data Analysis!</t>
  </si>
  <si>
    <t>Len</t>
  </si>
  <si>
    <r>
      <rPr>
        <b/>
        <sz val="40"/>
        <color rgb="FFFF0000"/>
        <rFont val="Amasis MT Pro Black"/>
        <family val="1"/>
      </rPr>
      <t>Excel Data Analysis:</t>
    </r>
    <r>
      <rPr>
        <b/>
        <sz val="40"/>
        <color theme="1"/>
        <rFont val="Amasis MT Pro Black"/>
        <family val="1"/>
      </rPr>
      <t xml:space="preserve">
            PERCENTOF
            for Counting</t>
    </r>
  </si>
  <si>
    <t>Excel Basics #10 Part 4: Yes, GROUPBY Can Calculate % Total For Counting!</t>
  </si>
  <si>
    <t>SUM =&gt;</t>
  </si>
  <si>
    <t>COUNT =&gt;</t>
  </si>
  <si>
    <t>COUNTA =&gt;</t>
  </si>
  <si>
    <t>Survey Favorite Colas</t>
  </si>
  <si>
    <t>Coca Cola</t>
  </si>
  <si>
    <t>RC Cola</t>
  </si>
  <si>
    <t>Pepsi</t>
  </si>
  <si>
    <t>Blocky Cola</t>
  </si>
  <si>
    <t>Shasta Cola</t>
  </si>
  <si>
    <t xml:space="preserve">Count </t>
  </si>
  <si>
    <t>Count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</si>
</sst>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0"/>
      <color theme="0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40"/>
      <color theme="1"/>
      <name val="Amasis MT Pro Black"/>
      <family val="1"/>
    </font>
    <font>
      <b/>
      <sz val="40"/>
      <color rgb="FFFF0000"/>
      <name val="Amasis MT Pro Black"/>
      <family val="1"/>
    </font>
    <font>
      <sz val="11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3FFF8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4.9989318521683403E-2"/>
        <bgColor indexed="64"/>
      </patternFill>
    </fill>
  </fills>
  <borders count="23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theme="0"/>
      </right>
      <top/>
      <bottom style="thick">
        <color theme="0"/>
      </bottom>
      <diagonal/>
    </border>
    <border>
      <left/>
      <right/>
      <top/>
      <bottom style="thick">
        <color theme="0"/>
      </bottom>
      <diagonal/>
    </border>
    <border>
      <left style="thick">
        <color theme="0"/>
      </left>
      <right/>
      <top/>
      <bottom style="thick">
        <color theme="0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/>
      <right style="thick">
        <color theme="0"/>
      </right>
      <top style="thick">
        <color theme="0"/>
      </top>
      <bottom style="thick">
        <color theme="0"/>
      </bottom>
      <diagonal/>
    </border>
    <border>
      <left/>
      <right style="thick">
        <color theme="0"/>
      </right>
      <top/>
      <bottom/>
      <diagonal/>
    </border>
    <border>
      <left style="thick">
        <color theme="0"/>
      </left>
      <right/>
      <top/>
      <bottom/>
      <diagonal/>
    </border>
    <border>
      <left/>
      <right style="thick">
        <color theme="0"/>
      </right>
      <top style="thick">
        <color theme="0"/>
      </top>
      <bottom/>
      <diagonal/>
    </border>
    <border>
      <left/>
      <right/>
      <top style="thick">
        <color theme="0"/>
      </top>
      <bottom/>
      <diagonal/>
    </border>
    <border>
      <left style="thick">
        <color theme="0"/>
      </left>
      <right/>
      <top style="thick">
        <color theme="0"/>
      </top>
      <bottom/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 style="thick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thick">
        <color indexed="64"/>
      </left>
      <right/>
      <top style="thick">
        <color indexed="64"/>
      </top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39">
    <xf numFmtId="0" fontId="0" fillId="0" borderId="0" xfId="0"/>
    <xf numFmtId="0" fontId="1" fillId="0" borderId="0" xfId="0" applyFont="1"/>
    <xf numFmtId="0" fontId="0" fillId="0" borderId="0" xfId="0" pivotButton="1"/>
    <xf numFmtId="164" fontId="0" fillId="0" borderId="0" xfId="0" applyNumberFormat="1"/>
    <xf numFmtId="0" fontId="1" fillId="0" borderId="1" xfId="0" applyFont="1" applyBorder="1"/>
    <xf numFmtId="0" fontId="1" fillId="0" borderId="2" xfId="0" applyFont="1" applyBorder="1"/>
    <xf numFmtId="0" fontId="0" fillId="0" borderId="2" xfId="0" applyBorder="1"/>
    <xf numFmtId="164" fontId="0" fillId="0" borderId="2" xfId="1" applyNumberFormat="1" applyFont="1" applyBorder="1"/>
    <xf numFmtId="164" fontId="0" fillId="0" borderId="2" xfId="0" applyNumberFormat="1" applyBorder="1"/>
    <xf numFmtId="0" fontId="3" fillId="2" borderId="2" xfId="0" applyFont="1" applyFill="1" applyBorder="1"/>
    <xf numFmtId="0" fontId="4" fillId="0" borderId="0" xfId="0" applyFont="1"/>
    <xf numFmtId="0" fontId="0" fillId="3" borderId="6" xfId="0" applyFill="1" applyBorder="1"/>
    <xf numFmtId="0" fontId="0" fillId="3" borderId="7" xfId="0" applyFill="1" applyBorder="1"/>
    <xf numFmtId="0" fontId="0" fillId="4" borderId="2" xfId="0" applyFill="1" applyBorder="1"/>
    <xf numFmtId="0" fontId="0" fillId="5" borderId="13" xfId="0" applyFill="1" applyBorder="1"/>
    <xf numFmtId="0" fontId="0" fillId="5" borderId="14" xfId="0" applyFill="1" applyBorder="1"/>
    <xf numFmtId="0" fontId="0" fillId="5" borderId="15" xfId="0" applyFill="1" applyBorder="1"/>
    <xf numFmtId="0" fontId="0" fillId="5" borderId="16" xfId="0" applyFill="1" applyBorder="1"/>
    <xf numFmtId="0" fontId="0" fillId="6" borderId="17" xfId="0" applyFill="1" applyBorder="1"/>
    <xf numFmtId="0" fontId="0" fillId="6" borderId="1" xfId="0" applyFill="1" applyBorder="1"/>
    <xf numFmtId="0" fontId="6" fillId="6" borderId="18" xfId="0" applyFont="1" applyFill="1" applyBorder="1" applyAlignment="1">
      <alignment vertical="center"/>
    </xf>
    <xf numFmtId="0" fontId="0" fillId="5" borderId="19" xfId="0" applyFill="1" applyBorder="1"/>
    <xf numFmtId="0" fontId="0" fillId="5" borderId="20" xfId="0" applyFill="1" applyBorder="1"/>
    <xf numFmtId="0" fontId="0" fillId="5" borderId="21" xfId="0" applyFill="1" applyBorder="1"/>
    <xf numFmtId="0" fontId="0" fillId="5" borderId="22" xfId="0" applyFill="1" applyBorder="1"/>
    <xf numFmtId="0" fontId="7" fillId="0" borderId="0" xfId="0" applyFont="1" applyAlignment="1">
      <alignment horizontal="left" vertical="top" wrapText="1" indent="2"/>
    </xf>
    <xf numFmtId="0" fontId="5" fillId="3" borderId="12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5" fillId="3" borderId="8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0" fillId="0" borderId="0" xfId="0" applyNumberFormat="1"/>
    <xf numFmtId="10" fontId="0" fillId="0" borderId="0" xfId="0" applyNumberFormat="1"/>
    <xf numFmtId="10" fontId="0" fillId="0" borderId="2" xfId="0" applyNumberFormat="1" applyBorder="1"/>
    <xf numFmtId="0" fontId="9" fillId="2" borderId="2" xfId="0" applyFont="1" applyFill="1" applyBorder="1"/>
  </cellXfs>
  <cellStyles count="2">
    <cellStyle name="Normal" xfId="0" builtinId="0"/>
    <cellStyle name="Percent" xfId="1" builtinId="5"/>
  </cellStyles>
  <dxfs count="5">
    <dxf>
      <font>
        <b/>
        <i val="0"/>
        <u val="double"/>
      </font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u val="double"/>
      </font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u val="double"/>
      </font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u val="double"/>
      </font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2.xml"/><Relationship Id="rId10" Type="http://schemas.openxmlformats.org/officeDocument/2006/relationships/styles" Target="styles.xml"/><Relationship Id="rId4" Type="http://schemas.openxmlformats.org/officeDocument/2006/relationships/externalLink" Target="externalLinks/externalLink1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7" Type="http://schemas.openxmlformats.org/officeDocument/2006/relationships/image" Target="../media/image7.jpeg"/><Relationship Id="rId2" Type="http://schemas.openxmlformats.org/officeDocument/2006/relationships/image" Target="../media/image2.png"/><Relationship Id="rId1" Type="http://schemas.openxmlformats.org/officeDocument/2006/relationships/image" Target="../media/image1.emf"/><Relationship Id="rId6" Type="http://schemas.openxmlformats.org/officeDocument/2006/relationships/image" Target="../media/image6.jpg"/><Relationship Id="rId5" Type="http://schemas.openxmlformats.org/officeDocument/2006/relationships/image" Target="../media/image5.emf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348226</xdr:colOff>
      <xdr:row>6</xdr:row>
      <xdr:rowOff>117665</xdr:rowOff>
    </xdr:from>
    <xdr:ext cx="1520216" cy="848277"/>
    <xdr:pic>
      <xdr:nvPicPr>
        <xdr:cNvPr id="2" name="Picture 1">
          <a:extLst>
            <a:ext uri="{FF2B5EF4-FFF2-40B4-BE49-F238E27FC236}">
              <a16:creationId xmlns:a16="http://schemas.microsoft.com/office/drawing/2014/main" id="{8CD5AAA5-89B3-4E64-AC4F-3CFDB780386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7512" b="7510"/>
        <a:stretch/>
      </xdr:blipFill>
      <xdr:spPr bwMode="auto">
        <a:xfrm>
          <a:off x="10536801" y="3435540"/>
          <a:ext cx="1520216" cy="848277"/>
        </a:xfrm>
        <a:prstGeom prst="rect">
          <a:avLst/>
        </a:prstGeom>
        <a:noFill/>
      </xdr:spPr>
    </xdr:pic>
    <xdr:clientData/>
  </xdr:oneCellAnchor>
  <xdr:twoCellAnchor editAs="oneCell">
    <xdr:from>
      <xdr:col>6</xdr:col>
      <xdr:colOff>487645</xdr:colOff>
      <xdr:row>4</xdr:row>
      <xdr:rowOff>990600</xdr:rowOff>
    </xdr:from>
    <xdr:to>
      <xdr:col>8</xdr:col>
      <xdr:colOff>772886</xdr:colOff>
      <xdr:row>6</xdr:row>
      <xdr:rowOff>890755</xdr:rowOff>
    </xdr:to>
    <xdr:pic>
      <xdr:nvPicPr>
        <xdr:cNvPr id="3" name="Picture 2" descr="A red logo with white x&#10;&#10;Description automatically generated">
          <a:extLst>
            <a:ext uri="{FF2B5EF4-FFF2-40B4-BE49-F238E27FC236}">
              <a16:creationId xmlns:a16="http://schemas.microsoft.com/office/drawing/2014/main" id="{D4172599-C217-4EAE-8C09-677707E522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08188" y="2296886"/>
          <a:ext cx="1841898" cy="1903126"/>
        </a:xfrm>
        <a:prstGeom prst="rect">
          <a:avLst/>
        </a:prstGeom>
      </xdr:spPr>
    </xdr:pic>
    <xdr:clientData/>
  </xdr:twoCellAnchor>
  <xdr:twoCellAnchor editAs="oneCell">
    <xdr:from>
      <xdr:col>14</xdr:col>
      <xdr:colOff>362323</xdr:colOff>
      <xdr:row>6</xdr:row>
      <xdr:rowOff>165798</xdr:rowOff>
    </xdr:from>
    <xdr:to>
      <xdr:col>16</xdr:col>
      <xdr:colOff>162644</xdr:colOff>
      <xdr:row>7</xdr:row>
      <xdr:rowOff>115796</xdr:rowOff>
    </xdr:to>
    <xdr:pic>
      <xdr:nvPicPr>
        <xdr:cNvPr id="4" name="Picture 3" descr="A logo of a computer&#10;&#10;Description automatically generated">
          <a:extLst>
            <a:ext uri="{FF2B5EF4-FFF2-40B4-BE49-F238E27FC236}">
              <a16:creationId xmlns:a16="http://schemas.microsoft.com/office/drawing/2014/main" id="{7C19F261-79F7-4298-93BC-FDEDA64B6A9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3397"/>
        <a:stretch/>
      </xdr:blipFill>
      <xdr:spPr>
        <a:xfrm>
          <a:off x="11770098" y="3483673"/>
          <a:ext cx="1019521" cy="1016798"/>
        </a:xfrm>
        <a:prstGeom prst="rect">
          <a:avLst/>
        </a:prstGeom>
      </xdr:spPr>
    </xdr:pic>
    <xdr:clientData/>
  </xdr:twoCellAnchor>
  <xdr:twoCellAnchor editAs="oneCell">
    <xdr:from>
      <xdr:col>13</xdr:col>
      <xdr:colOff>331304</xdr:colOff>
      <xdr:row>8</xdr:row>
      <xdr:rowOff>218660</xdr:rowOff>
    </xdr:from>
    <xdr:to>
      <xdr:col>19</xdr:col>
      <xdr:colOff>338924</xdr:colOff>
      <xdr:row>18</xdr:row>
      <xdr:rowOff>131196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4A8EF1A-B7E1-4EF3-A775-8C8E9AAEFF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29479" y="5060535"/>
          <a:ext cx="2817495" cy="182706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13</xdr:col>
      <xdr:colOff>228600</xdr:colOff>
      <xdr:row>25</xdr:row>
      <xdr:rowOff>60960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F8D487-A800-456F-A0A4-F5215C4B00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07375" y="6381750"/>
          <a:ext cx="2819400" cy="18516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13</xdr:col>
      <xdr:colOff>606365</xdr:colOff>
      <xdr:row>4</xdr:row>
      <xdr:rowOff>590455</xdr:rowOff>
    </xdr:from>
    <xdr:ext cx="1831639" cy="1022050"/>
    <xdr:pic>
      <xdr:nvPicPr>
        <xdr:cNvPr id="7" name="Picture 6">
          <a:extLst>
            <a:ext uri="{FF2B5EF4-FFF2-40B4-BE49-F238E27FC236}">
              <a16:creationId xmlns:a16="http://schemas.microsoft.com/office/drawing/2014/main" id="{6561572D-A416-48F2-A0E7-687FF9D1154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7512" b="7510"/>
        <a:stretch/>
      </xdr:blipFill>
      <xdr:spPr bwMode="auto">
        <a:xfrm>
          <a:off x="11404540" y="1904905"/>
          <a:ext cx="1831639" cy="1022050"/>
        </a:xfrm>
        <a:prstGeom prst="rect">
          <a:avLst/>
        </a:prstGeom>
        <a:noFill/>
      </xdr:spPr>
    </xdr:pic>
    <xdr:clientData/>
  </xdr:oneCellAnchor>
  <xdr:twoCellAnchor>
    <xdr:from>
      <xdr:col>11</xdr:col>
      <xdr:colOff>326572</xdr:colOff>
      <xdr:row>2</xdr:row>
      <xdr:rowOff>149675</xdr:rowOff>
    </xdr:from>
    <xdr:to>
      <xdr:col>26</xdr:col>
      <xdr:colOff>308430</xdr:colOff>
      <xdr:row>4</xdr:row>
      <xdr:rowOff>852715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068E93E0-AF07-42AB-BDCC-B99BBA535FD2}"/>
            </a:ext>
          </a:extLst>
        </xdr:cNvPr>
        <xdr:cNvSpPr/>
      </xdr:nvSpPr>
      <xdr:spPr>
        <a:xfrm>
          <a:off x="9905547" y="543375"/>
          <a:ext cx="8278133" cy="1623790"/>
        </a:xfrm>
        <a:prstGeom prst="rect">
          <a:avLst/>
        </a:prstGeom>
        <a:solidFill>
          <a:schemeClr val="bg1"/>
        </a:solidFill>
        <a:effectLst>
          <a:outerShdw blurRad="50800" dist="50800" dir="5400000" algn="ctr" rotWithShape="0">
            <a:schemeClr val="bg1"/>
          </a:outerShdw>
        </a:effectLst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4300" b="0">
              <a:solidFill>
                <a:schemeClr val="tx1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latin typeface="Mongolian Baiti" panose="03000500000000000000" pitchFamily="66" charset="0"/>
              <a:cs typeface="Mongolian Baiti" panose="03000500000000000000" pitchFamily="66" charset="0"/>
            </a:rPr>
            <a:t>The New Revolution in</a:t>
          </a:r>
        </a:p>
        <a:p>
          <a:pPr algn="ctr"/>
          <a:r>
            <a:rPr lang="en-US" sz="4300" b="0">
              <a:solidFill>
                <a:schemeClr val="tx1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latin typeface="Mongolian Baiti" panose="03000500000000000000" pitchFamily="66" charset="0"/>
              <a:cs typeface="Mongolian Baiti" panose="03000500000000000000" pitchFamily="66" charset="0"/>
            </a:rPr>
            <a:t>Excel Data Analysis</a:t>
          </a:r>
        </a:p>
      </xdr:txBody>
    </xdr:sp>
    <xdr:clientData/>
  </xdr:twoCellAnchor>
  <xdr:twoCellAnchor editAs="oneCell">
    <xdr:from>
      <xdr:col>3</xdr:col>
      <xdr:colOff>57146</xdr:colOff>
      <xdr:row>4</xdr:row>
      <xdr:rowOff>867485</xdr:rowOff>
    </xdr:from>
    <xdr:to>
      <xdr:col>3</xdr:col>
      <xdr:colOff>1665514</xdr:colOff>
      <xdr:row>6</xdr:row>
      <xdr:rowOff>1059545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C72599DA-4244-415F-B3FB-B714687A79C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56" t="3372" r="3009" b="989"/>
        <a:stretch/>
      </xdr:blipFill>
      <xdr:spPr>
        <a:xfrm>
          <a:off x="928003" y="2173771"/>
          <a:ext cx="1608368" cy="2195031"/>
        </a:xfrm>
        <a:prstGeom prst="rect">
          <a:avLst/>
        </a:prstGeom>
      </xdr:spPr>
    </xdr:pic>
    <xdr:clientData/>
  </xdr:twoCellAnchor>
  <xdr:twoCellAnchor editAs="oneCell">
    <xdr:from>
      <xdr:col>8</xdr:col>
      <xdr:colOff>76198</xdr:colOff>
      <xdr:row>2</xdr:row>
      <xdr:rowOff>88918</xdr:rowOff>
    </xdr:from>
    <xdr:to>
      <xdr:col>8</xdr:col>
      <xdr:colOff>680475</xdr:colOff>
      <xdr:row>3</xdr:row>
      <xdr:rowOff>217173</xdr:rowOff>
    </xdr:to>
    <xdr:pic>
      <xdr:nvPicPr>
        <xdr:cNvPr id="10" name="Picture 9" descr="A blue circle with white text&#10;&#10;Description automatically generated">
          <a:extLst>
            <a:ext uri="{FF2B5EF4-FFF2-40B4-BE49-F238E27FC236}">
              <a16:creationId xmlns:a16="http://schemas.microsoft.com/office/drawing/2014/main" id="{4088C9D4-3628-4C44-9AF6-9EC934F2A2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53398" y="480804"/>
          <a:ext cx="604277" cy="585455"/>
        </a:xfrm>
        <a:prstGeom prst="rect">
          <a:avLst/>
        </a:prstGeom>
      </xdr:spPr>
    </xdr:pic>
    <xdr:clientData/>
  </xdr:twoCellAnchor>
  <xdr:twoCellAnchor>
    <xdr:from>
      <xdr:col>3</xdr:col>
      <xdr:colOff>261257</xdr:colOff>
      <xdr:row>3</xdr:row>
      <xdr:rowOff>293913</xdr:rowOff>
    </xdr:from>
    <xdr:to>
      <xdr:col>8</xdr:col>
      <xdr:colOff>772886</xdr:colOff>
      <xdr:row>4</xdr:row>
      <xdr:rowOff>805543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79374DA9-C91A-45B6-B645-5D081277044E}"/>
            </a:ext>
          </a:extLst>
        </xdr:cNvPr>
        <xdr:cNvSpPr/>
      </xdr:nvSpPr>
      <xdr:spPr>
        <a:xfrm>
          <a:off x="1132114" y="1142999"/>
          <a:ext cx="7717972" cy="968830"/>
        </a:xfrm>
        <a:prstGeom prst="rect">
          <a:avLst/>
        </a:prstGeom>
        <a:solidFill>
          <a:srgbClr val="EE0000"/>
        </a:solidFill>
        <a:effectLst>
          <a:outerShdw blurRad="57150" dist="19050" dir="5400000" sx="99000" sy="99000" algn="ctr" rotWithShape="0">
            <a:srgbClr val="000000">
              <a:alpha val="66000"/>
            </a:srgbClr>
          </a:outerShdw>
        </a:effectLst>
        <a:scene3d>
          <a:camera prst="orthographicFront"/>
          <a:lightRig rig="threePt" dir="t"/>
        </a:scene3d>
        <a:sp3d>
          <a:bevelT/>
        </a:sp3d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5000" b="1">
              <a:solidFill>
                <a:schemeClr val="bg1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a:rPr>
            <a:t>GROUPBY Array Function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mgirvin/Desktop/00-218-2025-ExcelBasics/03-Videos/Video10-13/Video10/Re-doMECS04Part01/MECS04DownloadFiles/04-M365ExcelClass.xlsx" TargetMode="External"/><Relationship Id="rId2" Type="http://schemas.openxmlformats.org/officeDocument/2006/relationships/externalLinkPath" Target="file:///C:\Users\mgirvin\Desktop\00-218-2025-ExcelBasics\03-Videos\Video10\Re-doMECS04Part01\ExcelBasics10-Short01-02-03\04-M365ExcelClass.xlsx" TargetMode="External"/><Relationship Id="rId1" Type="http://schemas.openxmlformats.org/officeDocument/2006/relationships/externalLinkPath" Target="/Users/mgirvin/Desktop/00-218-2025-ExcelBasics/03-Videos/Video10-13/Video10/Re-doMECS04Part01/MECS04DownloadFiles/04-M365ExcelClass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mgirvin/Desktop/00-218-2025-ExcelBasics/02-Files/ExcelBasics09.xlsx" TargetMode="External"/><Relationship Id="rId2" Type="http://schemas.openxmlformats.org/officeDocument/2006/relationships/externalLinkPath" Target="file:///C:\Users\mgirvin\Desktop\00-218-2025-ExcelBasics\02-Files\ExcelBasics09.xlsx" TargetMode="External"/><Relationship Id="rId1" Type="http://schemas.openxmlformats.org/officeDocument/2006/relationships/externalLinkPath" Target="/Users/mgirvin/Desktop/00-218-2025-ExcelBasics/02-Files/ExcelBasics09.xlsx" TargetMode="External"/></Relationships>
</file>

<file path=xl/externalLinks/_rels/externalLink3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mgirvin/Desktop/00-218-2025-ExcelBasics/03-Videos/Video13-Old08%20-%20With%20Full%20Data%20Set%20For%20ALl%20Cahrts%20ANd%20Tools/NewChapter08/ExcelBasics08Full.xlsx" TargetMode="External"/><Relationship Id="rId2" Type="http://schemas.openxmlformats.org/officeDocument/2006/relationships/externalLinkPath" Target="file:///C:\Users\mgirvin\Desktop\00-218-2025-ExcelBasics\03-Videos\Video13-Old08%20-%20With%20Full%20Data%20Set%20For%20ALl%20Cahrts%20ANd%20Tools\NewChapter08\ExcelBasics08Full.xlsx" TargetMode="External"/><Relationship Id="rId1" Type="http://schemas.openxmlformats.org/officeDocument/2006/relationships/externalLinkPath" Target="/Users/mgirvin/Desktop/00-218-2025-ExcelBasics/03-Videos/Video13-Old08%20-%20With%20Full%20Data%20Set%20For%20ALl%20Cahrts%20ANd%20Tools/NewChapter08/ExcelBasics08Ful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C(4MECS)"/>
      <sheetName val="C(4MECS) (2)"/>
      <sheetName val="C(4)"/>
      <sheetName val="C(5)"/>
      <sheetName val="EB(10)"/>
      <sheetName val="Topics"/>
      <sheetName val="ProgressCheckList"/>
      <sheetName val="Data Analysis"/>
      <sheetName val="S F FF"/>
      <sheetName val="S F FF (an)"/>
      <sheetName val="West"/>
      <sheetName val="PT"/>
      <sheetName val="PQ"/>
      <sheetName val="PQ(1-Info)"/>
      <sheetName val="PQ(1)"/>
      <sheetName val="PQ(1an)"/>
      <sheetName val="PQ(2)PT-info"/>
      <sheetName val="PQ(2)PT"/>
      <sheetName val="PQ(2)PT (an)"/>
      <sheetName val="XLOOKUP &amp; PT"/>
      <sheetName val="XLOOKUP &amp; PT (an)"/>
      <sheetName val="PP"/>
      <sheetName val="R DM DAX"/>
      <sheetName val="FilterContextVisual"/>
      <sheetName val="Mistake"/>
      <sheetName val="R DM DAX (an)"/>
      <sheetName val="Semantic Model"/>
      <sheetName val="BIDesktop"/>
      <sheetName val="Refresh08and09"/>
      <sheetName val="PBID(10)"/>
      <sheetName val="PBID Data Model SQL"/>
      <sheetName val="Columnar Database"/>
      <sheetName val="RevenueFormula"/>
      <sheetName val="Credentials"/>
      <sheetName val="HW ==&gt;&gt;"/>
      <sheetName val="HW(1)"/>
      <sheetName val="HW(1an)"/>
      <sheetName val="HW(2)"/>
      <sheetName val="HW(2an)"/>
      <sheetName val="HW(3)"/>
      <sheetName val="HW(3an)"/>
      <sheetName val="HW(4)"/>
      <sheetName val="HW(4an)"/>
      <sheetName val="HW(5)"/>
      <sheetName val="04-M365ExcelClas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Intro"/>
      <sheetName val="C"/>
      <sheetName val="C (2)"/>
      <sheetName val="Topics"/>
      <sheetName val="ArrayFunctionsInThisVideo"/>
      <sheetName val="AllArrayFunctions"/>
      <sheetName val="DSRF"/>
      <sheetName val="DSRF (an)"/>
      <sheetName val="GB Arguments"/>
      <sheetName val="GB-FieldRelationship"/>
      <sheetName val="PB Arguments"/>
      <sheetName val="ArrayReportingHistory"/>
      <sheetName val="WhenToUseFormulas"/>
      <sheetName val="ETN"/>
      <sheetName val="LAMBDA"/>
      <sheetName val="Median"/>
      <sheetName val="DROP"/>
      <sheetName val="PivotPIVOTBY"/>
      <sheetName val="(1)"/>
      <sheetName val="(1an)"/>
      <sheetName val="(2)"/>
      <sheetName val="(2an)"/>
      <sheetName val="(3)"/>
      <sheetName val="(3an)"/>
      <sheetName val="(4)"/>
      <sheetName val="(4an)"/>
      <sheetName val="(5)"/>
      <sheetName val="(5an)"/>
      <sheetName val="(6)"/>
      <sheetName val="(6an)"/>
      <sheetName val="(7)"/>
      <sheetName val="(7an)"/>
      <sheetName val="(8)"/>
      <sheetName val="(8an)"/>
      <sheetName val="(9)"/>
      <sheetName val="(9an)"/>
      <sheetName val="(10)"/>
      <sheetName val="Bonus"/>
      <sheetName val="HW==&gt;"/>
      <sheetName val="HW(1-4)"/>
      <sheetName val="HW(1-4an)"/>
      <sheetName val="HW(5)"/>
      <sheetName val="HW(5an)"/>
    </sheetNames>
    <sheetDataSet>
      <sheetData sheetId="0">
        <row r="4">
          <cell r="C4" t="str">
            <v>Video</v>
          </cell>
          <cell r="D4" t="str">
            <v>HoursWorked</v>
          </cell>
        </row>
        <row r="5">
          <cell r="C5" t="str">
            <v>Video 1</v>
          </cell>
          <cell r="D5">
            <v>8</v>
          </cell>
        </row>
        <row r="6">
          <cell r="C6" t="str">
            <v>Video 1</v>
          </cell>
          <cell r="D6">
            <v>7</v>
          </cell>
        </row>
        <row r="7">
          <cell r="C7" t="str">
            <v>Video 2</v>
          </cell>
          <cell r="D7">
            <v>5</v>
          </cell>
        </row>
        <row r="8">
          <cell r="C8" t="str">
            <v>Video 2</v>
          </cell>
          <cell r="D8">
            <v>7</v>
          </cell>
        </row>
        <row r="9">
          <cell r="C9" t="str">
            <v>Video 2</v>
          </cell>
          <cell r="D9">
            <v>6.5</v>
          </cell>
        </row>
        <row r="10">
          <cell r="C10" t="str">
            <v>Video 3</v>
          </cell>
          <cell r="D10">
            <v>8</v>
          </cell>
        </row>
        <row r="11">
          <cell r="C11" t="str">
            <v>Video 3</v>
          </cell>
          <cell r="D11">
            <v>12</v>
          </cell>
        </row>
        <row r="12">
          <cell r="C12" t="str">
            <v>Video 4</v>
          </cell>
          <cell r="D12">
            <v>10</v>
          </cell>
        </row>
        <row r="13">
          <cell r="C13" t="str">
            <v>Video 4</v>
          </cell>
          <cell r="D13">
            <v>3</v>
          </cell>
        </row>
        <row r="14">
          <cell r="C14" t="str">
            <v>Video 5</v>
          </cell>
          <cell r="D14">
            <v>10.5</v>
          </cell>
        </row>
        <row r="15">
          <cell r="C15" t="str">
            <v>Video 6</v>
          </cell>
          <cell r="D15">
            <v>7</v>
          </cell>
        </row>
        <row r="16">
          <cell r="C16" t="str">
            <v>Video 6</v>
          </cell>
          <cell r="D16">
            <v>6.5</v>
          </cell>
        </row>
        <row r="17">
          <cell r="C17" t="str">
            <v>Video 6</v>
          </cell>
          <cell r="D17">
            <v>10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>
        <row r="13">
          <cell r="D13" t="str">
            <v>Video</v>
          </cell>
          <cell r="E13" t="str">
            <v>HoursWorked</v>
          </cell>
        </row>
        <row r="14">
          <cell r="D14" t="str">
            <v>Video 1</v>
          </cell>
          <cell r="E14">
            <v>8</v>
          </cell>
        </row>
        <row r="15">
          <cell r="D15" t="str">
            <v>Video 1</v>
          </cell>
          <cell r="E15">
            <v>7</v>
          </cell>
        </row>
        <row r="16">
          <cell r="D16" t="str">
            <v>Video 2</v>
          </cell>
          <cell r="E16">
            <v>5</v>
          </cell>
        </row>
        <row r="17">
          <cell r="D17" t="str">
            <v>Video 2</v>
          </cell>
          <cell r="E17">
            <v>7</v>
          </cell>
        </row>
        <row r="18">
          <cell r="D18" t="str">
            <v>Video 2</v>
          </cell>
          <cell r="E18">
            <v>6.5</v>
          </cell>
        </row>
        <row r="19">
          <cell r="D19" t="str">
            <v>Video 3</v>
          </cell>
          <cell r="E19">
            <v>8</v>
          </cell>
        </row>
        <row r="20">
          <cell r="D20" t="str">
            <v>Video 3</v>
          </cell>
          <cell r="E20">
            <v>12</v>
          </cell>
        </row>
        <row r="21">
          <cell r="D21" t="str">
            <v>Video 4</v>
          </cell>
          <cell r="E21">
            <v>10</v>
          </cell>
        </row>
        <row r="22">
          <cell r="D22" t="str">
            <v>Video 4</v>
          </cell>
          <cell r="E22">
            <v>3</v>
          </cell>
        </row>
        <row r="23">
          <cell r="D23" t="str">
            <v>Video 5</v>
          </cell>
          <cell r="E23">
            <v>10.5</v>
          </cell>
        </row>
        <row r="24">
          <cell r="D24" t="str">
            <v>Video 6</v>
          </cell>
          <cell r="E24">
            <v>7</v>
          </cell>
        </row>
        <row r="25">
          <cell r="D25" t="str">
            <v>Video 6</v>
          </cell>
          <cell r="E25">
            <v>6.5</v>
          </cell>
        </row>
        <row r="26">
          <cell r="D26" t="str">
            <v>Video 6</v>
          </cell>
          <cell r="E26">
            <v>10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Topics"/>
      <sheetName val="Data Analysis"/>
      <sheetName val="Sort"/>
      <sheetName val="Filter"/>
      <sheetName val="PT-SummarizeValuesBy"/>
      <sheetName val="PT-ShowValuesAs"/>
      <sheetName val="Chart Types"/>
      <sheetName val="PT(1)"/>
      <sheetName val="PT(2)"/>
      <sheetName val="PT(3) Group Numbers"/>
      <sheetName val="GB Arguments"/>
      <sheetName val="PB Arguments"/>
      <sheetName val="GB"/>
      <sheetName val="PB"/>
      <sheetName val="Dashboard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3">
          <cell r="C3" t="str">
            <v>Video</v>
          </cell>
          <cell r="D3" t="str">
            <v>HoursWorked</v>
          </cell>
        </row>
        <row r="4">
          <cell r="C4" t="str">
            <v>Video 1</v>
          </cell>
          <cell r="D4">
            <v>8</v>
          </cell>
        </row>
        <row r="5">
          <cell r="C5" t="str">
            <v>Video 1</v>
          </cell>
          <cell r="D5">
            <v>7</v>
          </cell>
        </row>
        <row r="6">
          <cell r="C6" t="str">
            <v>Video 2</v>
          </cell>
          <cell r="D6">
            <v>5</v>
          </cell>
        </row>
        <row r="7">
          <cell r="C7" t="str">
            <v>Video 2</v>
          </cell>
          <cell r="D7">
            <v>7</v>
          </cell>
        </row>
        <row r="8">
          <cell r="C8" t="str">
            <v>Video 2</v>
          </cell>
          <cell r="D8">
            <v>6.5</v>
          </cell>
        </row>
        <row r="9">
          <cell r="C9" t="str">
            <v>Video 3</v>
          </cell>
          <cell r="D9">
            <v>8</v>
          </cell>
        </row>
        <row r="10">
          <cell r="C10" t="str">
            <v>Video 3</v>
          </cell>
          <cell r="D10">
            <v>12</v>
          </cell>
        </row>
        <row r="11">
          <cell r="C11" t="str">
            <v>Video 4</v>
          </cell>
          <cell r="D11">
            <v>10</v>
          </cell>
        </row>
        <row r="12">
          <cell r="C12" t="str">
            <v>Video 4</v>
          </cell>
          <cell r="D12">
            <v>3</v>
          </cell>
        </row>
        <row r="13">
          <cell r="C13" t="str">
            <v>Video 5</v>
          </cell>
          <cell r="D13">
            <v>10.5</v>
          </cell>
        </row>
        <row r="14">
          <cell r="C14" t="str">
            <v>Video 6</v>
          </cell>
          <cell r="D14">
            <v>7</v>
          </cell>
        </row>
        <row r="15">
          <cell r="C15" t="str">
            <v>Video 6</v>
          </cell>
          <cell r="D15">
            <v>6.5</v>
          </cell>
        </row>
        <row r="16">
          <cell r="C16" t="str">
            <v>Video 6</v>
          </cell>
          <cell r="D16">
            <v>10</v>
          </cell>
        </row>
        <row r="17">
          <cell r="C17" t="str">
            <v>Video 7</v>
          </cell>
          <cell r="D17">
            <v>6</v>
          </cell>
        </row>
        <row r="18">
          <cell r="C18" t="str">
            <v>Video 8</v>
          </cell>
          <cell r="D18">
            <v>11.5</v>
          </cell>
        </row>
        <row r="19">
          <cell r="C19" t="str">
            <v>Video 8</v>
          </cell>
          <cell r="D19">
            <v>12</v>
          </cell>
        </row>
      </sheetData>
      <sheetData sheetId="13"/>
      <sheetData sheetId="14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irvin, Michael" refreshedDate="45748.486612384258" createdVersion="8" refreshedVersion="8" minRefreshableVersion="3" recordCount="159" xr:uid="{DC5BCFAE-7180-414D-89AF-37C4A2C94B77}">
  <cacheSource type="worksheet">
    <worksheetSource ref="B4:B163" sheet="EB10-GROUPBY"/>
  </cacheSource>
  <cacheFields count="1">
    <cacheField name="Survey Data" numFmtId="0">
      <sharedItems count="3">
        <s v="Yes"/>
        <s v="No"/>
        <s v="Somewhat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uvi" refreshedDate="46297.389705092595" createdVersion="8" refreshedVersion="8" minRefreshableVersion="3" recordCount="25" xr:uid="{70D5968A-3E75-47B6-BC63-790A62F32D2F}">
  <cacheSource type="worksheet">
    <worksheetSource name="fColas"/>
  </cacheSource>
  <cacheFields count="1">
    <cacheField name="Survey Favorite Colas" numFmtId="0">
      <sharedItems count="5">
        <s v="Coca Cola"/>
        <s v="RC Cola"/>
        <s v="Pepsi"/>
        <s v="Blocky Cola"/>
        <s v="Shasta Cola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9">
  <r>
    <x v="0"/>
  </r>
  <r>
    <x v="0"/>
  </r>
  <r>
    <x v="1"/>
  </r>
  <r>
    <x v="0"/>
  </r>
  <r>
    <x v="1"/>
  </r>
  <r>
    <x v="1"/>
  </r>
  <r>
    <x v="1"/>
  </r>
  <r>
    <x v="2"/>
  </r>
  <r>
    <x v="0"/>
  </r>
  <r>
    <x v="0"/>
  </r>
  <r>
    <x v="0"/>
  </r>
  <r>
    <x v="0"/>
  </r>
  <r>
    <x v="2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0"/>
  </r>
  <r>
    <x v="0"/>
  </r>
  <r>
    <x v="0"/>
  </r>
  <r>
    <x v="2"/>
  </r>
  <r>
    <x v="2"/>
  </r>
  <r>
    <x v="2"/>
  </r>
  <r>
    <x v="1"/>
  </r>
  <r>
    <x v="1"/>
  </r>
  <r>
    <x v="1"/>
  </r>
  <r>
    <x v="0"/>
  </r>
  <r>
    <x v="1"/>
  </r>
  <r>
    <x v="1"/>
  </r>
  <r>
    <x v="1"/>
  </r>
  <r>
    <x v="0"/>
  </r>
  <r>
    <x v="1"/>
  </r>
  <r>
    <x v="1"/>
  </r>
  <r>
    <x v="1"/>
  </r>
  <r>
    <x v="0"/>
  </r>
  <r>
    <x v="2"/>
  </r>
  <r>
    <x v="1"/>
  </r>
  <r>
    <x v="2"/>
  </r>
  <r>
    <x v="1"/>
  </r>
  <r>
    <x v="0"/>
  </r>
  <r>
    <x v="1"/>
  </r>
  <r>
    <x v="1"/>
  </r>
  <r>
    <x v="2"/>
  </r>
  <r>
    <x v="1"/>
  </r>
  <r>
    <x v="2"/>
  </r>
  <r>
    <x v="2"/>
  </r>
  <r>
    <x v="1"/>
  </r>
  <r>
    <x v="1"/>
  </r>
  <r>
    <x v="1"/>
  </r>
  <r>
    <x v="1"/>
  </r>
  <r>
    <x v="1"/>
  </r>
  <r>
    <x v="2"/>
  </r>
  <r>
    <x v="0"/>
  </r>
  <r>
    <x v="2"/>
  </r>
  <r>
    <x v="2"/>
  </r>
  <r>
    <x v="1"/>
  </r>
  <r>
    <x v="2"/>
  </r>
  <r>
    <x v="1"/>
  </r>
  <r>
    <x v="2"/>
  </r>
  <r>
    <x v="1"/>
  </r>
  <r>
    <x v="1"/>
  </r>
  <r>
    <x v="1"/>
  </r>
  <r>
    <x v="1"/>
  </r>
  <r>
    <x v="1"/>
  </r>
  <r>
    <x v="0"/>
  </r>
  <r>
    <x v="2"/>
  </r>
  <r>
    <x v="0"/>
  </r>
  <r>
    <x v="2"/>
  </r>
  <r>
    <x v="1"/>
  </r>
  <r>
    <x v="1"/>
  </r>
  <r>
    <x v="0"/>
  </r>
  <r>
    <x v="0"/>
  </r>
  <r>
    <x v="1"/>
  </r>
  <r>
    <x v="1"/>
  </r>
  <r>
    <x v="0"/>
  </r>
  <r>
    <x v="0"/>
  </r>
  <r>
    <x v="1"/>
  </r>
  <r>
    <x v="0"/>
  </r>
  <r>
    <x v="1"/>
  </r>
  <r>
    <x v="0"/>
  </r>
  <r>
    <x v="1"/>
  </r>
  <r>
    <x v="0"/>
  </r>
  <r>
    <x v="1"/>
  </r>
  <r>
    <x v="1"/>
  </r>
  <r>
    <x v="0"/>
  </r>
  <r>
    <x v="2"/>
  </r>
  <r>
    <x v="1"/>
  </r>
  <r>
    <x v="0"/>
  </r>
  <r>
    <x v="0"/>
  </r>
  <r>
    <x v="0"/>
  </r>
  <r>
    <x v="2"/>
  </r>
  <r>
    <x v="2"/>
  </r>
  <r>
    <x v="1"/>
  </r>
  <r>
    <x v="1"/>
  </r>
  <r>
    <x v="1"/>
  </r>
  <r>
    <x v="1"/>
  </r>
  <r>
    <x v="0"/>
  </r>
  <r>
    <x v="0"/>
  </r>
  <r>
    <x v="2"/>
  </r>
  <r>
    <x v="1"/>
  </r>
  <r>
    <x v="1"/>
  </r>
  <r>
    <x v="2"/>
  </r>
  <r>
    <x v="0"/>
  </r>
  <r>
    <x v="1"/>
  </r>
  <r>
    <x v="1"/>
  </r>
  <r>
    <x v="2"/>
  </r>
  <r>
    <x v="0"/>
  </r>
  <r>
    <x v="0"/>
  </r>
  <r>
    <x v="1"/>
  </r>
  <r>
    <x v="1"/>
  </r>
  <r>
    <x v="1"/>
  </r>
  <r>
    <x v="1"/>
  </r>
  <r>
    <x v="1"/>
  </r>
  <r>
    <x v="2"/>
  </r>
  <r>
    <x v="0"/>
  </r>
  <r>
    <x v="0"/>
  </r>
  <r>
    <x v="1"/>
  </r>
  <r>
    <x v="1"/>
  </r>
  <r>
    <x v="1"/>
  </r>
  <r>
    <x v="2"/>
  </r>
  <r>
    <x v="0"/>
  </r>
  <r>
    <x v="2"/>
  </r>
  <r>
    <x v="1"/>
  </r>
  <r>
    <x v="0"/>
  </r>
  <r>
    <x v="1"/>
  </r>
  <r>
    <x v="2"/>
  </r>
  <r>
    <x v="0"/>
  </r>
  <r>
    <x v="0"/>
  </r>
  <r>
    <x v="0"/>
  </r>
  <r>
    <x v="1"/>
  </r>
  <r>
    <x v="0"/>
  </r>
  <r>
    <x v="2"/>
  </r>
  <r>
    <x v="1"/>
  </r>
  <r>
    <x v="2"/>
  </r>
  <r>
    <x v="0"/>
  </r>
  <r>
    <x v="2"/>
  </r>
  <r>
    <x v="1"/>
  </r>
  <r>
    <x v="2"/>
  </r>
  <r>
    <x v="0"/>
  </r>
  <r>
    <x v="1"/>
  </r>
  <r>
    <x v="1"/>
  </r>
  <r>
    <x v="1"/>
  </r>
  <r>
    <x v="2"/>
  </r>
  <r>
    <x v="0"/>
  </r>
  <r>
    <x v="1"/>
  </r>
  <r>
    <x v="1"/>
  </r>
  <r>
    <x v="2"/>
  </r>
  <r>
    <x v="0"/>
  </r>
  <r>
    <x v="2"/>
  </r>
  <r>
    <x v="0"/>
  </r>
  <r>
    <x v="1"/>
  </r>
  <r>
    <x v="1"/>
  </r>
  <r>
    <x v="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">
  <r>
    <x v="0"/>
  </r>
  <r>
    <x v="1"/>
  </r>
  <r>
    <x v="0"/>
  </r>
  <r>
    <x v="2"/>
  </r>
  <r>
    <x v="1"/>
  </r>
  <r>
    <x v="3"/>
  </r>
  <r>
    <x v="3"/>
  </r>
  <r>
    <x v="3"/>
  </r>
  <r>
    <x v="2"/>
  </r>
  <r>
    <x v="0"/>
  </r>
  <r>
    <x v="1"/>
  </r>
  <r>
    <x v="4"/>
  </r>
  <r>
    <x v="4"/>
  </r>
  <r>
    <x v="4"/>
  </r>
  <r>
    <x v="3"/>
  </r>
  <r>
    <x v="4"/>
  </r>
  <r>
    <x v="4"/>
  </r>
  <r>
    <x v="3"/>
  </r>
  <r>
    <x v="4"/>
  </r>
  <r>
    <x v="1"/>
  </r>
  <r>
    <x v="4"/>
  </r>
  <r>
    <x v="4"/>
  </r>
  <r>
    <x v="1"/>
  </r>
  <r>
    <x v="0"/>
  </r>
  <r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34C4C29-877E-4DA7-9A63-9ADD50A6E040}" name="PivotTable1" cacheId="0" applyNumberFormats="0" applyBorderFormats="0" applyFontFormats="0" applyPatternFormats="0" applyAlignmentFormats="0" applyWidthHeightFormats="1" dataCaption="Values" updatedVersion="8" minRefreshableVersion="3" itemPrintTitles="1" createdVersion="8" indent="0" compact="0" compactData="0" multipleFieldFilters="0">
  <location ref="E4:G8" firstHeaderRow="0" firstDataRow="1" firstDataCol="1"/>
  <pivotFields count="1">
    <pivotField axis="axisRow" dataField="1" compact="0" outline="0" showAll="0">
      <items count="4">
        <item x="1"/>
        <item x="2"/>
        <item x="0"/>
        <item t="default"/>
      </items>
    </pivotField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" fld="0" subtotal="count" baseField="0" baseItem="0"/>
    <dataField name="% Count" fld="0" subtotal="count" showDataAs="percentOfCol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FB99C32-DA4E-4329-BB7C-CC27C8796F17}" name="PivotTable1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F2:H8" firstHeaderRow="0" firstDataRow="1" firstDataCol="1"/>
  <pivotFields count="1">
    <pivotField axis="axisRow" dataField="1" compact="0" outline="0" showAll="0" sortType="ascending">
      <items count="6">
        <item x="3"/>
        <item x="0"/>
        <item x="2"/>
        <item x="1"/>
        <item x="4"/>
        <item t="default"/>
      </items>
    </pivotField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" fld="0" subtotal="count" baseField="0" baseItem="0"/>
    <dataField name="Count %" fld="0" subtotal="count" showDataAs="percentOfCol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B79B95E-4C62-4C73-B447-46560A26C488}" name="fColas" displayName="fColas" ref="B2:B27" totalsRowShown="0" headerRowDxfId="4">
  <autoFilter ref="B2:B27" xr:uid="{BB79B95E-4C62-4C73-B447-46560A26C488}"/>
  <tableColumns count="1">
    <tableColumn id="1" xr3:uid="{93B183A8-EABF-44FC-8577-4AC6F9356C03}" name="Survey Favorite Col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023467-5061-476C-9FC7-C4735840ABA1}">
  <sheetPr>
    <tabColor rgb="FFFFFF00"/>
  </sheetPr>
  <dimension ref="B1:S30"/>
  <sheetViews>
    <sheetView showGridLines="0" topLeftCell="B1" zoomScale="115" zoomScaleNormal="115" workbookViewId="0">
      <selection activeCell="O9" sqref="O9"/>
    </sheetView>
  </sheetViews>
  <sheetFormatPr defaultRowHeight="15" x14ac:dyDescent="0.25"/>
  <cols>
    <col min="1" max="1" width="2.5703125" customWidth="1"/>
    <col min="2" max="2" width="7.7109375" customWidth="1"/>
    <col min="3" max="3" width="2.5703125" customWidth="1"/>
    <col min="4" max="4" width="39.42578125" customWidth="1"/>
    <col min="5" max="5" width="39" customWidth="1"/>
    <col min="6" max="6" width="3.7109375" customWidth="1"/>
    <col min="7" max="7" width="13.7109375" customWidth="1"/>
    <col min="9" max="9" width="14" customWidth="1"/>
    <col min="10" max="11" width="2.7109375" customWidth="1"/>
    <col min="17" max="19" width="4.7109375" customWidth="1"/>
  </cols>
  <sheetData>
    <row r="1" spans="2:10" ht="15.75" thickBot="1" x14ac:dyDescent="0.3"/>
    <row r="2" spans="2:10" ht="15.75" thickTop="1" x14ac:dyDescent="0.25">
      <c r="C2" s="24"/>
      <c r="D2" s="23"/>
      <c r="E2" s="23"/>
      <c r="F2" s="23"/>
      <c r="G2" s="23"/>
      <c r="H2" s="23"/>
      <c r="I2" s="23"/>
      <c r="J2" s="22"/>
    </row>
    <row r="3" spans="2:10" ht="36.4" customHeight="1" x14ac:dyDescent="0.25">
      <c r="C3" s="21"/>
      <c r="D3" s="25" t="s">
        <v>22</v>
      </c>
      <c r="E3" s="25"/>
      <c r="F3" s="25"/>
      <c r="G3" s="25"/>
      <c r="H3" s="25"/>
      <c r="I3" s="25"/>
      <c r="J3" s="17"/>
    </row>
    <row r="4" spans="2:10" ht="36.4" customHeight="1" x14ac:dyDescent="0.25">
      <c r="C4" s="21"/>
      <c r="D4" s="25"/>
      <c r="E4" s="25"/>
      <c r="F4" s="25"/>
      <c r="G4" s="25"/>
      <c r="H4" s="25"/>
      <c r="I4" s="25"/>
      <c r="J4" s="17"/>
    </row>
    <row r="5" spans="2:10" ht="84" customHeight="1" x14ac:dyDescent="0.25">
      <c r="C5" s="21"/>
      <c r="D5" s="25"/>
      <c r="E5" s="25"/>
      <c r="F5" s="25"/>
      <c r="G5" s="25"/>
      <c r="H5" s="25"/>
      <c r="I5" s="25"/>
      <c r="J5" s="17"/>
    </row>
    <row r="6" spans="2:10" ht="73.900000000000006" customHeight="1" x14ac:dyDescent="0.25">
      <c r="C6" s="21"/>
      <c r="D6" s="25"/>
      <c r="E6" s="25"/>
      <c r="F6" s="25"/>
      <c r="G6" s="25"/>
      <c r="H6" s="25"/>
      <c r="I6" s="25"/>
      <c r="J6" s="17"/>
    </row>
    <row r="7" spans="2:10" ht="84" customHeight="1" x14ac:dyDescent="0.25">
      <c r="C7" s="21"/>
      <c r="D7" s="25"/>
      <c r="E7" s="25"/>
      <c r="F7" s="25"/>
      <c r="G7" s="25"/>
      <c r="H7" s="25"/>
      <c r="I7" s="25"/>
      <c r="J7" s="17"/>
    </row>
    <row r="8" spans="2:10" ht="36" customHeight="1" x14ac:dyDescent="0.25">
      <c r="C8" s="21"/>
      <c r="D8" s="20" t="s">
        <v>23</v>
      </c>
      <c r="E8" s="19"/>
      <c r="F8" s="19"/>
      <c r="G8" s="19"/>
      <c r="H8" s="19"/>
      <c r="I8" s="18"/>
      <c r="J8" s="17"/>
    </row>
    <row r="9" spans="2:10" ht="17.45" customHeight="1" thickBot="1" x14ac:dyDescent="0.3">
      <c r="C9" s="16"/>
      <c r="D9" s="15"/>
      <c r="E9" s="15"/>
      <c r="F9" s="15"/>
      <c r="G9" s="15"/>
      <c r="H9" s="15"/>
      <c r="I9" s="15"/>
      <c r="J9" s="14"/>
    </row>
    <row r="10" spans="2:10" ht="15.75" thickTop="1" x14ac:dyDescent="0.25"/>
    <row r="11" spans="2:10" x14ac:dyDescent="0.25">
      <c r="B11" s="5" t="s">
        <v>21</v>
      </c>
    </row>
    <row r="12" spans="2:10" x14ac:dyDescent="0.25">
      <c r="B12" s="13">
        <f>LEN(D12)</f>
        <v>60</v>
      </c>
      <c r="D12" s="1" t="s">
        <v>20</v>
      </c>
    </row>
    <row r="20" spans="14:19" ht="15.75" thickBot="1" x14ac:dyDescent="0.3"/>
    <row r="21" spans="14:19" ht="16.5" thickTop="1" thickBot="1" x14ac:dyDescent="0.3">
      <c r="N21" s="26" t="s">
        <v>19</v>
      </c>
      <c r="O21" s="27"/>
      <c r="P21" s="28"/>
    </row>
    <row r="22" spans="14:19" ht="16.5" thickTop="1" thickBot="1" x14ac:dyDescent="0.3">
      <c r="N22" s="29"/>
      <c r="O22" s="30"/>
      <c r="P22" s="31"/>
      <c r="Q22" s="12"/>
      <c r="R22" s="11"/>
      <c r="S22" s="11"/>
    </row>
    <row r="23" spans="14:19" ht="16.5" thickTop="1" thickBot="1" x14ac:dyDescent="0.3">
      <c r="N23" s="29"/>
      <c r="O23" s="30"/>
      <c r="P23" s="31"/>
      <c r="Q23" s="12"/>
      <c r="R23" s="11"/>
      <c r="S23" s="11"/>
    </row>
    <row r="24" spans="14:19" ht="16.5" thickTop="1" thickBot="1" x14ac:dyDescent="0.3">
      <c r="N24" s="29"/>
      <c r="O24" s="30"/>
      <c r="P24" s="31"/>
      <c r="Q24" s="12"/>
      <c r="R24" s="11"/>
      <c r="S24" s="11"/>
    </row>
    <row r="25" spans="14:19" ht="16.5" thickTop="1" thickBot="1" x14ac:dyDescent="0.3">
      <c r="N25" s="29"/>
      <c r="O25" s="30"/>
      <c r="P25" s="31"/>
      <c r="Q25" s="12"/>
      <c r="R25" s="11"/>
      <c r="S25" s="11"/>
    </row>
    <row r="26" spans="14:19" ht="16.5" thickTop="1" thickBot="1" x14ac:dyDescent="0.3">
      <c r="N26" s="29"/>
      <c r="O26" s="30"/>
      <c r="P26" s="31"/>
      <c r="Q26" s="12"/>
      <c r="R26" s="11"/>
      <c r="S26" s="11"/>
    </row>
    <row r="27" spans="14:19" ht="16.5" thickTop="1" thickBot="1" x14ac:dyDescent="0.3">
      <c r="N27" s="29"/>
      <c r="O27" s="30"/>
      <c r="P27" s="31"/>
      <c r="Q27" s="12"/>
      <c r="R27" s="11"/>
      <c r="S27" s="11"/>
    </row>
    <row r="28" spans="14:19" ht="16.5" thickTop="1" thickBot="1" x14ac:dyDescent="0.3">
      <c r="N28" s="29"/>
      <c r="O28" s="30"/>
      <c r="P28" s="31"/>
      <c r="Q28" s="12"/>
      <c r="R28" s="11"/>
      <c r="S28" s="11"/>
    </row>
    <row r="29" spans="14:19" ht="16.5" thickTop="1" thickBot="1" x14ac:dyDescent="0.3">
      <c r="N29" s="32"/>
      <c r="O29" s="33"/>
      <c r="P29" s="34"/>
    </row>
    <row r="30" spans="14:19" ht="15.75" thickTop="1" x14ac:dyDescent="0.25"/>
  </sheetData>
  <mergeCells count="2">
    <mergeCell ref="D3:I7"/>
    <mergeCell ref="N21:P29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00FF"/>
  </sheetPr>
  <dimension ref="B2:O163"/>
  <sheetViews>
    <sheetView zoomScaleNormal="100" workbookViewId="0">
      <selection activeCell="H19" sqref="H19"/>
    </sheetView>
  </sheetViews>
  <sheetFormatPr defaultRowHeight="15" x14ac:dyDescent="0.25"/>
  <cols>
    <col min="1" max="1" width="2.42578125" customWidth="1"/>
    <col min="2" max="2" width="14" customWidth="1"/>
    <col min="3" max="4" width="9.7109375" customWidth="1"/>
    <col min="5" max="5" width="14" customWidth="1"/>
    <col min="7" max="7" width="10.85546875" customWidth="1"/>
    <col min="9" max="9" width="3.85546875" customWidth="1"/>
    <col min="10" max="10" width="8.5703125" customWidth="1"/>
    <col min="12" max="12" width="11.42578125" bestFit="1" customWidth="1"/>
    <col min="13" max="13" width="14" customWidth="1"/>
    <col min="15" max="15" width="10.85546875" customWidth="1"/>
  </cols>
  <sheetData>
    <row r="2" spans="2:15" x14ac:dyDescent="0.25">
      <c r="B2" s="1" t="s">
        <v>0</v>
      </c>
      <c r="C2" t="s">
        <v>1</v>
      </c>
    </row>
    <row r="4" spans="2:15" x14ac:dyDescent="0.25">
      <c r="B4" s="9" t="s">
        <v>2</v>
      </c>
      <c r="E4" s="2" t="s">
        <v>2</v>
      </c>
      <c r="F4" t="s">
        <v>7</v>
      </c>
      <c r="G4" t="s">
        <v>8</v>
      </c>
      <c r="I4" s="1" t="s">
        <v>18</v>
      </c>
      <c r="J4" s="1" t="s">
        <v>17</v>
      </c>
    </row>
    <row r="5" spans="2:15" x14ac:dyDescent="0.25">
      <c r="B5" s="6" t="s">
        <v>3</v>
      </c>
      <c r="C5" cm="1">
        <f t="array" ref="C5:C163">_xlfn.SEQUENCE(ROWS(B5:B163),,1,0)</f>
        <v>1</v>
      </c>
      <c r="E5" t="s">
        <v>4</v>
      </c>
      <c r="F5">
        <v>77</v>
      </c>
      <c r="G5" s="3">
        <v>0.48427672955974843</v>
      </c>
    </row>
    <row r="6" spans="2:15" x14ac:dyDescent="0.25">
      <c r="B6" s="6" t="s">
        <v>3</v>
      </c>
      <c r="C6">
        <v>1</v>
      </c>
      <c r="E6" t="s">
        <v>5</v>
      </c>
      <c r="F6">
        <v>35</v>
      </c>
      <c r="G6" s="3">
        <v>0.22012578616352202</v>
      </c>
      <c r="J6" s="9" t="s">
        <v>11</v>
      </c>
      <c r="K6" s="9" t="s">
        <v>12</v>
      </c>
    </row>
    <row r="7" spans="2:15" x14ac:dyDescent="0.25">
      <c r="B7" s="6" t="s">
        <v>4</v>
      </c>
      <c r="C7">
        <v>1</v>
      </c>
      <c r="E7" t="s">
        <v>3</v>
      </c>
      <c r="F7">
        <v>47</v>
      </c>
      <c r="G7" s="3">
        <v>0.29559748427672955</v>
      </c>
      <c r="J7" s="6" t="s">
        <v>13</v>
      </c>
      <c r="K7" s="6">
        <v>5</v>
      </c>
    </row>
    <row r="8" spans="2:15" x14ac:dyDescent="0.25">
      <c r="B8" s="6" t="s">
        <v>3</v>
      </c>
      <c r="C8">
        <v>1</v>
      </c>
      <c r="E8" t="s">
        <v>6</v>
      </c>
      <c r="F8">
        <v>159</v>
      </c>
      <c r="G8" s="3">
        <v>1</v>
      </c>
      <c r="J8" s="5" t="s">
        <v>14</v>
      </c>
      <c r="K8" s="6">
        <v>10</v>
      </c>
      <c r="M8" s="5" t="s">
        <v>11</v>
      </c>
      <c r="N8" s="5" t="s">
        <v>12</v>
      </c>
      <c r="O8" s="5" t="s">
        <v>15</v>
      </c>
    </row>
    <row r="9" spans="2:15" x14ac:dyDescent="0.25">
      <c r="B9" s="6" t="s">
        <v>4</v>
      </c>
      <c r="C9">
        <v>1</v>
      </c>
      <c r="J9" s="6" t="s">
        <v>13</v>
      </c>
      <c r="K9" s="6">
        <v>11</v>
      </c>
      <c r="M9" s="6" t="s">
        <v>13</v>
      </c>
      <c r="N9" s="6" cm="1">
        <f t="array" ref="N9:N10">SUMIFS(K7:K11,J7:J11,M9:M10)</f>
        <v>16</v>
      </c>
      <c r="O9" s="7" cm="1">
        <f t="array" ref="O9:O10">SUMIFS(K7:K11,J7:J11,M9:M10)/SUM(K7:K11)</f>
        <v>0.38095238095238093</v>
      </c>
    </row>
    <row r="10" spans="2:15" x14ac:dyDescent="0.25">
      <c r="B10" s="6" t="s">
        <v>4</v>
      </c>
      <c r="C10">
        <v>1</v>
      </c>
      <c r="E10" s="1" t="s">
        <v>9</v>
      </c>
      <c r="J10" s="5" t="s">
        <v>14</v>
      </c>
      <c r="K10" s="6">
        <v>9</v>
      </c>
      <c r="M10" s="6" t="s">
        <v>14</v>
      </c>
      <c r="N10" s="6">
        <v>26</v>
      </c>
      <c r="O10" s="7">
        <v>0.61904761904761907</v>
      </c>
    </row>
    <row r="11" spans="2:15" x14ac:dyDescent="0.25">
      <c r="B11" s="6" t="s">
        <v>4</v>
      </c>
      <c r="C11">
        <v>1</v>
      </c>
      <c r="J11" s="6" t="s">
        <v>14</v>
      </c>
      <c r="K11" s="6">
        <v>7</v>
      </c>
      <c r="M11" s="6" t="s">
        <v>10</v>
      </c>
      <c r="N11" s="6">
        <f>SUM(_xlfn.ANCHORARRAY(N9))</f>
        <v>42</v>
      </c>
      <c r="O11" s="8">
        <f>SUM(_xlfn.ANCHORARRAY(O9))</f>
        <v>1</v>
      </c>
    </row>
    <row r="12" spans="2:15" x14ac:dyDescent="0.25">
      <c r="B12" s="6" t="s">
        <v>5</v>
      </c>
      <c r="C12">
        <v>1</v>
      </c>
      <c r="E12" s="4" t="s">
        <v>2</v>
      </c>
      <c r="F12" s="4" t="s">
        <v>7</v>
      </c>
      <c r="G12" s="4" t="s">
        <v>8</v>
      </c>
    </row>
    <row r="13" spans="2:15" x14ac:dyDescent="0.25">
      <c r="B13" s="6" t="s">
        <v>3</v>
      </c>
      <c r="C13">
        <v>1</v>
      </c>
      <c r="E13" t="str" cm="1">
        <f t="array" ref="E13:G16">_xlfn.DROP(_xlfn.GROUPBY(B5:B163,_xlfn.SEQUENCE(ROWS(B5:B163),,1,0),_xlfn.HSTACK(_xleta.COUNTA,_xleta.PERCENTOF)),1)</f>
        <v>No</v>
      </c>
      <c r="F13">
        <v>77</v>
      </c>
      <c r="G13" s="3">
        <v>0.48427672955974843</v>
      </c>
      <c r="M13" s="10" t="s">
        <v>16</v>
      </c>
    </row>
    <row r="14" spans="2:15" x14ac:dyDescent="0.25">
      <c r="B14" s="6" t="s">
        <v>3</v>
      </c>
      <c r="C14">
        <v>1</v>
      </c>
      <c r="E14" t="str">
        <v>Somewhat</v>
      </c>
      <c r="F14">
        <v>35</v>
      </c>
      <c r="G14" s="3">
        <v>0.22012578616352202</v>
      </c>
    </row>
    <row r="15" spans="2:15" x14ac:dyDescent="0.25">
      <c r="B15" s="6" t="s">
        <v>3</v>
      </c>
      <c r="C15">
        <v>1</v>
      </c>
      <c r="E15" t="str">
        <v>Yes</v>
      </c>
      <c r="F15">
        <v>47</v>
      </c>
      <c r="G15" s="3">
        <v>0.29559748427672955</v>
      </c>
    </row>
    <row r="16" spans="2:15" x14ac:dyDescent="0.25">
      <c r="B16" s="6" t="s">
        <v>3</v>
      </c>
      <c r="C16">
        <v>1</v>
      </c>
      <c r="E16" t="str">
        <v>Total</v>
      </c>
      <c r="F16">
        <v>159</v>
      </c>
      <c r="G16" s="3">
        <v>1</v>
      </c>
      <c r="L16" s="4" t="s">
        <v>2</v>
      </c>
      <c r="M16" s="4" t="s">
        <v>7</v>
      </c>
      <c r="N16" s="4" t="s">
        <v>8</v>
      </c>
    </row>
    <row r="17" spans="2:14" x14ac:dyDescent="0.25">
      <c r="B17" s="6" t="s">
        <v>5</v>
      </c>
      <c r="C17">
        <v>1</v>
      </c>
      <c r="J17" s="1" t="s">
        <v>24</v>
      </c>
      <c r="L17" t="str" cm="1">
        <f t="array" ref="L17:N20">_xlfn.DROP(_xlfn.GROUPBY(B5:B163,_xlfn.SEQUENCE(ROWS(B5:B163),,1,0),_xlfn.HSTACK(_xleta.SUM,_xleta.PERCENTOF)),1)</f>
        <v>No</v>
      </c>
      <c r="M17">
        <v>77</v>
      </c>
      <c r="N17" s="3">
        <v>0.48427672955974843</v>
      </c>
    </row>
    <row r="18" spans="2:14" x14ac:dyDescent="0.25">
      <c r="B18" s="6" t="s">
        <v>4</v>
      </c>
      <c r="C18">
        <v>1</v>
      </c>
      <c r="E18" s="1"/>
      <c r="L18" t="str">
        <v>Somewhat</v>
      </c>
      <c r="M18">
        <v>35</v>
      </c>
      <c r="N18" s="3">
        <v>0.22012578616352202</v>
      </c>
    </row>
    <row r="19" spans="2:14" x14ac:dyDescent="0.25">
      <c r="B19" s="6" t="s">
        <v>4</v>
      </c>
      <c r="C19">
        <v>1</v>
      </c>
      <c r="L19" t="str">
        <v>Yes</v>
      </c>
      <c r="M19">
        <v>47</v>
      </c>
      <c r="N19" s="3">
        <v>0.29559748427672955</v>
      </c>
    </row>
    <row r="20" spans="2:14" x14ac:dyDescent="0.25">
      <c r="B20" s="6" t="s">
        <v>3</v>
      </c>
      <c r="C20">
        <v>1</v>
      </c>
      <c r="E20" s="1"/>
      <c r="L20" t="str">
        <v>Total</v>
      </c>
      <c r="M20">
        <v>159</v>
      </c>
      <c r="N20" s="3">
        <v>1</v>
      </c>
    </row>
    <row r="21" spans="2:14" x14ac:dyDescent="0.25">
      <c r="B21" s="6" t="s">
        <v>4</v>
      </c>
      <c r="C21">
        <v>1</v>
      </c>
    </row>
    <row r="22" spans="2:14" x14ac:dyDescent="0.25">
      <c r="B22" s="6" t="s">
        <v>4</v>
      </c>
      <c r="C22">
        <v>1</v>
      </c>
      <c r="I22" s="1"/>
      <c r="L22" s="4" t="s">
        <v>2</v>
      </c>
      <c r="M22" s="4" t="s">
        <v>7</v>
      </c>
      <c r="N22" s="4" t="s">
        <v>8</v>
      </c>
    </row>
    <row r="23" spans="2:14" x14ac:dyDescent="0.25">
      <c r="B23" s="6" t="s">
        <v>4</v>
      </c>
      <c r="C23">
        <v>1</v>
      </c>
      <c r="J23" s="1" t="s">
        <v>25</v>
      </c>
      <c r="L23" t="str" cm="1">
        <f t="array" ref="L23:N26">_xlfn.DROP(_xlfn.GROUPBY(B5:B163,_xlfn.SEQUENCE(ROWS(B5:B163),,1,0),_xlfn.HSTACK(_xleta.COUNT,_xleta.PERCENTOF)),1)</f>
        <v>No</v>
      </c>
      <c r="M23">
        <v>77</v>
      </c>
      <c r="N23" s="3">
        <v>0.48427672955974843</v>
      </c>
    </row>
    <row r="24" spans="2:14" x14ac:dyDescent="0.25">
      <c r="B24" s="6" t="s">
        <v>4</v>
      </c>
      <c r="C24">
        <v>1</v>
      </c>
      <c r="L24" t="str">
        <v>Somewhat</v>
      </c>
      <c r="M24">
        <v>35</v>
      </c>
      <c r="N24" s="3">
        <v>0.22012578616352202</v>
      </c>
    </row>
    <row r="25" spans="2:14" x14ac:dyDescent="0.25">
      <c r="B25" s="6" t="s">
        <v>4</v>
      </c>
      <c r="C25">
        <v>1</v>
      </c>
      <c r="L25" t="str">
        <v>Yes</v>
      </c>
      <c r="M25">
        <v>47</v>
      </c>
      <c r="N25" s="3">
        <v>0.29559748427672955</v>
      </c>
    </row>
    <row r="26" spans="2:14" x14ac:dyDescent="0.25">
      <c r="B26" s="6" t="s">
        <v>4</v>
      </c>
      <c r="C26">
        <v>1</v>
      </c>
      <c r="L26" t="str">
        <v>Total</v>
      </c>
      <c r="M26">
        <v>159</v>
      </c>
      <c r="N26" s="3">
        <v>1</v>
      </c>
    </row>
    <row r="27" spans="2:14" x14ac:dyDescent="0.25">
      <c r="B27" s="6" t="s">
        <v>4</v>
      </c>
      <c r="C27">
        <v>1</v>
      </c>
    </row>
    <row r="28" spans="2:14" x14ac:dyDescent="0.25">
      <c r="B28" s="6" t="s">
        <v>3</v>
      </c>
      <c r="C28">
        <v>1</v>
      </c>
      <c r="L28" s="4" t="s">
        <v>2</v>
      </c>
      <c r="M28" s="4" t="s">
        <v>7</v>
      </c>
      <c r="N28" s="4" t="s">
        <v>8</v>
      </c>
    </row>
    <row r="29" spans="2:14" x14ac:dyDescent="0.25">
      <c r="B29" s="6" t="s">
        <v>3</v>
      </c>
      <c r="C29">
        <v>1</v>
      </c>
      <c r="J29" s="1" t="s">
        <v>26</v>
      </c>
      <c r="L29" t="str" cm="1">
        <f t="array" ref="L29:N32">_xlfn.DROP(_xlfn.GROUPBY(B5:B163,_xlfn.SEQUENCE(ROWS(B5:B163),,1,0),_xlfn.HSTACK(_xleta.COUNTA,_xleta.PERCENTOF)),1)</f>
        <v>No</v>
      </c>
      <c r="M29">
        <v>77</v>
      </c>
      <c r="N29" s="3">
        <v>0.48427672955974843</v>
      </c>
    </row>
    <row r="30" spans="2:14" x14ac:dyDescent="0.25">
      <c r="B30" s="6" t="s">
        <v>3</v>
      </c>
      <c r="C30">
        <v>1</v>
      </c>
      <c r="L30" t="str">
        <v>Somewhat</v>
      </c>
      <c r="M30">
        <v>35</v>
      </c>
      <c r="N30" s="3">
        <v>0.22012578616352202</v>
      </c>
    </row>
    <row r="31" spans="2:14" x14ac:dyDescent="0.25">
      <c r="B31" s="6" t="s">
        <v>5</v>
      </c>
      <c r="C31">
        <v>1</v>
      </c>
      <c r="L31" t="str">
        <v>Yes</v>
      </c>
      <c r="M31">
        <v>47</v>
      </c>
      <c r="N31" s="3">
        <v>0.29559748427672955</v>
      </c>
    </row>
    <row r="32" spans="2:14" x14ac:dyDescent="0.25">
      <c r="B32" s="6" t="s">
        <v>5</v>
      </c>
      <c r="C32">
        <v>1</v>
      </c>
      <c r="L32" t="str">
        <v>Total</v>
      </c>
      <c r="M32">
        <v>159</v>
      </c>
      <c r="N32" s="3">
        <v>1</v>
      </c>
    </row>
    <row r="33" spans="2:3" x14ac:dyDescent="0.25">
      <c r="B33" s="6" t="s">
        <v>5</v>
      </c>
      <c r="C33">
        <v>1</v>
      </c>
    </row>
    <row r="34" spans="2:3" x14ac:dyDescent="0.25">
      <c r="B34" s="6" t="s">
        <v>4</v>
      </c>
      <c r="C34">
        <v>1</v>
      </c>
    </row>
    <row r="35" spans="2:3" x14ac:dyDescent="0.25">
      <c r="B35" s="6" t="s">
        <v>4</v>
      </c>
      <c r="C35">
        <v>1</v>
      </c>
    </row>
    <row r="36" spans="2:3" x14ac:dyDescent="0.25">
      <c r="B36" s="6" t="s">
        <v>4</v>
      </c>
      <c r="C36">
        <v>1</v>
      </c>
    </row>
    <row r="37" spans="2:3" x14ac:dyDescent="0.25">
      <c r="B37" s="6" t="s">
        <v>3</v>
      </c>
      <c r="C37">
        <v>1</v>
      </c>
    </row>
    <row r="38" spans="2:3" x14ac:dyDescent="0.25">
      <c r="B38" s="6" t="s">
        <v>4</v>
      </c>
      <c r="C38">
        <v>1</v>
      </c>
    </row>
    <row r="39" spans="2:3" x14ac:dyDescent="0.25">
      <c r="B39" s="6" t="s">
        <v>4</v>
      </c>
      <c r="C39">
        <v>1</v>
      </c>
    </row>
    <row r="40" spans="2:3" x14ac:dyDescent="0.25">
      <c r="B40" s="6" t="s">
        <v>4</v>
      </c>
      <c r="C40">
        <v>1</v>
      </c>
    </row>
    <row r="41" spans="2:3" x14ac:dyDescent="0.25">
      <c r="B41" s="6" t="s">
        <v>3</v>
      </c>
      <c r="C41">
        <v>1</v>
      </c>
    </row>
    <row r="42" spans="2:3" x14ac:dyDescent="0.25">
      <c r="B42" s="6" t="s">
        <v>4</v>
      </c>
      <c r="C42">
        <v>1</v>
      </c>
    </row>
    <row r="43" spans="2:3" x14ac:dyDescent="0.25">
      <c r="B43" s="6" t="s">
        <v>4</v>
      </c>
      <c r="C43">
        <v>1</v>
      </c>
    </row>
    <row r="44" spans="2:3" x14ac:dyDescent="0.25">
      <c r="B44" s="6" t="s">
        <v>4</v>
      </c>
      <c r="C44">
        <v>1</v>
      </c>
    </row>
    <row r="45" spans="2:3" x14ac:dyDescent="0.25">
      <c r="B45" s="6" t="s">
        <v>3</v>
      </c>
      <c r="C45">
        <v>1</v>
      </c>
    </row>
    <row r="46" spans="2:3" x14ac:dyDescent="0.25">
      <c r="B46" s="6" t="s">
        <v>5</v>
      </c>
      <c r="C46">
        <v>1</v>
      </c>
    </row>
    <row r="47" spans="2:3" x14ac:dyDescent="0.25">
      <c r="B47" s="6" t="s">
        <v>4</v>
      </c>
      <c r="C47">
        <v>1</v>
      </c>
    </row>
    <row r="48" spans="2:3" x14ac:dyDescent="0.25">
      <c r="B48" s="6" t="s">
        <v>5</v>
      </c>
      <c r="C48">
        <v>1</v>
      </c>
    </row>
    <row r="49" spans="2:3" x14ac:dyDescent="0.25">
      <c r="B49" s="6" t="s">
        <v>4</v>
      </c>
      <c r="C49">
        <v>1</v>
      </c>
    </row>
    <row r="50" spans="2:3" x14ac:dyDescent="0.25">
      <c r="B50" s="6" t="s">
        <v>3</v>
      </c>
      <c r="C50">
        <v>1</v>
      </c>
    </row>
    <row r="51" spans="2:3" x14ac:dyDescent="0.25">
      <c r="B51" s="6" t="s">
        <v>4</v>
      </c>
      <c r="C51">
        <v>1</v>
      </c>
    </row>
    <row r="52" spans="2:3" x14ac:dyDescent="0.25">
      <c r="B52" s="6" t="s">
        <v>4</v>
      </c>
      <c r="C52">
        <v>1</v>
      </c>
    </row>
    <row r="53" spans="2:3" x14ac:dyDescent="0.25">
      <c r="B53" s="6" t="s">
        <v>5</v>
      </c>
      <c r="C53">
        <v>1</v>
      </c>
    </row>
    <row r="54" spans="2:3" x14ac:dyDescent="0.25">
      <c r="B54" s="6" t="s">
        <v>4</v>
      </c>
      <c r="C54">
        <v>1</v>
      </c>
    </row>
    <row r="55" spans="2:3" x14ac:dyDescent="0.25">
      <c r="B55" s="6" t="s">
        <v>5</v>
      </c>
      <c r="C55">
        <v>1</v>
      </c>
    </row>
    <row r="56" spans="2:3" x14ac:dyDescent="0.25">
      <c r="B56" s="6" t="s">
        <v>5</v>
      </c>
      <c r="C56">
        <v>1</v>
      </c>
    </row>
    <row r="57" spans="2:3" x14ac:dyDescent="0.25">
      <c r="B57" s="6" t="s">
        <v>4</v>
      </c>
      <c r="C57">
        <v>1</v>
      </c>
    </row>
    <row r="58" spans="2:3" x14ac:dyDescent="0.25">
      <c r="B58" s="6" t="s">
        <v>4</v>
      </c>
      <c r="C58">
        <v>1</v>
      </c>
    </row>
    <row r="59" spans="2:3" x14ac:dyDescent="0.25">
      <c r="B59" s="6" t="s">
        <v>4</v>
      </c>
      <c r="C59">
        <v>1</v>
      </c>
    </row>
    <row r="60" spans="2:3" x14ac:dyDescent="0.25">
      <c r="B60" s="6" t="s">
        <v>4</v>
      </c>
      <c r="C60">
        <v>1</v>
      </c>
    </row>
    <row r="61" spans="2:3" x14ac:dyDescent="0.25">
      <c r="B61" s="6" t="s">
        <v>4</v>
      </c>
      <c r="C61">
        <v>1</v>
      </c>
    </row>
    <row r="62" spans="2:3" x14ac:dyDescent="0.25">
      <c r="B62" s="6" t="s">
        <v>5</v>
      </c>
      <c r="C62">
        <v>1</v>
      </c>
    </row>
    <row r="63" spans="2:3" x14ac:dyDescent="0.25">
      <c r="B63" s="6" t="s">
        <v>3</v>
      </c>
      <c r="C63">
        <v>1</v>
      </c>
    </row>
    <row r="64" spans="2:3" x14ac:dyDescent="0.25">
      <c r="B64" s="6" t="s">
        <v>5</v>
      </c>
      <c r="C64">
        <v>1</v>
      </c>
    </row>
    <row r="65" spans="2:3" x14ac:dyDescent="0.25">
      <c r="B65" s="6" t="s">
        <v>5</v>
      </c>
      <c r="C65">
        <v>1</v>
      </c>
    </row>
    <row r="66" spans="2:3" x14ac:dyDescent="0.25">
      <c r="B66" s="6" t="s">
        <v>4</v>
      </c>
      <c r="C66">
        <v>1</v>
      </c>
    </row>
    <row r="67" spans="2:3" x14ac:dyDescent="0.25">
      <c r="B67" s="6" t="s">
        <v>5</v>
      </c>
      <c r="C67">
        <v>1</v>
      </c>
    </row>
    <row r="68" spans="2:3" x14ac:dyDescent="0.25">
      <c r="B68" s="6" t="s">
        <v>4</v>
      </c>
      <c r="C68">
        <v>1</v>
      </c>
    </row>
    <row r="69" spans="2:3" x14ac:dyDescent="0.25">
      <c r="B69" s="6" t="s">
        <v>5</v>
      </c>
      <c r="C69">
        <v>1</v>
      </c>
    </row>
    <row r="70" spans="2:3" x14ac:dyDescent="0.25">
      <c r="B70" s="6" t="s">
        <v>4</v>
      </c>
      <c r="C70">
        <v>1</v>
      </c>
    </row>
    <row r="71" spans="2:3" x14ac:dyDescent="0.25">
      <c r="B71" s="6" t="s">
        <v>4</v>
      </c>
      <c r="C71">
        <v>1</v>
      </c>
    </row>
    <row r="72" spans="2:3" x14ac:dyDescent="0.25">
      <c r="B72" s="6" t="s">
        <v>4</v>
      </c>
      <c r="C72">
        <v>1</v>
      </c>
    </row>
    <row r="73" spans="2:3" x14ac:dyDescent="0.25">
      <c r="B73" s="6" t="s">
        <v>4</v>
      </c>
      <c r="C73">
        <v>1</v>
      </c>
    </row>
    <row r="74" spans="2:3" x14ac:dyDescent="0.25">
      <c r="B74" s="6" t="s">
        <v>4</v>
      </c>
      <c r="C74">
        <v>1</v>
      </c>
    </row>
    <row r="75" spans="2:3" x14ac:dyDescent="0.25">
      <c r="B75" s="6" t="s">
        <v>3</v>
      </c>
      <c r="C75">
        <v>1</v>
      </c>
    </row>
    <row r="76" spans="2:3" x14ac:dyDescent="0.25">
      <c r="B76" s="6" t="s">
        <v>5</v>
      </c>
      <c r="C76">
        <v>1</v>
      </c>
    </row>
    <row r="77" spans="2:3" x14ac:dyDescent="0.25">
      <c r="B77" s="6" t="s">
        <v>3</v>
      </c>
      <c r="C77">
        <v>1</v>
      </c>
    </row>
    <row r="78" spans="2:3" x14ac:dyDescent="0.25">
      <c r="B78" s="6" t="s">
        <v>5</v>
      </c>
      <c r="C78">
        <v>1</v>
      </c>
    </row>
    <row r="79" spans="2:3" x14ac:dyDescent="0.25">
      <c r="B79" s="6" t="s">
        <v>4</v>
      </c>
      <c r="C79">
        <v>1</v>
      </c>
    </row>
    <row r="80" spans="2:3" x14ac:dyDescent="0.25">
      <c r="B80" s="6" t="s">
        <v>4</v>
      </c>
      <c r="C80">
        <v>1</v>
      </c>
    </row>
    <row r="81" spans="2:3" x14ac:dyDescent="0.25">
      <c r="B81" s="6" t="s">
        <v>3</v>
      </c>
      <c r="C81">
        <v>1</v>
      </c>
    </row>
    <row r="82" spans="2:3" x14ac:dyDescent="0.25">
      <c r="B82" s="6" t="s">
        <v>3</v>
      </c>
      <c r="C82">
        <v>1</v>
      </c>
    </row>
    <row r="83" spans="2:3" x14ac:dyDescent="0.25">
      <c r="B83" s="6" t="s">
        <v>4</v>
      </c>
      <c r="C83">
        <v>1</v>
      </c>
    </row>
    <row r="84" spans="2:3" x14ac:dyDescent="0.25">
      <c r="B84" s="6" t="s">
        <v>4</v>
      </c>
      <c r="C84">
        <v>1</v>
      </c>
    </row>
    <row r="85" spans="2:3" x14ac:dyDescent="0.25">
      <c r="B85" s="6" t="s">
        <v>3</v>
      </c>
      <c r="C85">
        <v>1</v>
      </c>
    </row>
    <row r="86" spans="2:3" x14ac:dyDescent="0.25">
      <c r="B86" s="6" t="s">
        <v>3</v>
      </c>
      <c r="C86">
        <v>1</v>
      </c>
    </row>
    <row r="87" spans="2:3" x14ac:dyDescent="0.25">
      <c r="B87" s="6" t="s">
        <v>4</v>
      </c>
      <c r="C87">
        <v>1</v>
      </c>
    </row>
    <row r="88" spans="2:3" x14ac:dyDescent="0.25">
      <c r="B88" s="6" t="s">
        <v>3</v>
      </c>
      <c r="C88">
        <v>1</v>
      </c>
    </row>
    <row r="89" spans="2:3" x14ac:dyDescent="0.25">
      <c r="B89" s="6" t="s">
        <v>4</v>
      </c>
      <c r="C89">
        <v>1</v>
      </c>
    </row>
    <row r="90" spans="2:3" x14ac:dyDescent="0.25">
      <c r="B90" s="6" t="s">
        <v>3</v>
      </c>
      <c r="C90">
        <v>1</v>
      </c>
    </row>
    <row r="91" spans="2:3" x14ac:dyDescent="0.25">
      <c r="B91" s="6" t="s">
        <v>4</v>
      </c>
      <c r="C91">
        <v>1</v>
      </c>
    </row>
    <row r="92" spans="2:3" x14ac:dyDescent="0.25">
      <c r="B92" s="6" t="s">
        <v>3</v>
      </c>
      <c r="C92">
        <v>1</v>
      </c>
    </row>
    <row r="93" spans="2:3" x14ac:dyDescent="0.25">
      <c r="B93" s="6" t="s">
        <v>4</v>
      </c>
      <c r="C93">
        <v>1</v>
      </c>
    </row>
    <row r="94" spans="2:3" x14ac:dyDescent="0.25">
      <c r="B94" s="6" t="s">
        <v>4</v>
      </c>
      <c r="C94">
        <v>1</v>
      </c>
    </row>
    <row r="95" spans="2:3" x14ac:dyDescent="0.25">
      <c r="B95" s="6" t="s">
        <v>3</v>
      </c>
      <c r="C95">
        <v>1</v>
      </c>
    </row>
    <row r="96" spans="2:3" x14ac:dyDescent="0.25">
      <c r="B96" s="6" t="s">
        <v>5</v>
      </c>
      <c r="C96">
        <v>1</v>
      </c>
    </row>
    <row r="97" spans="2:3" x14ac:dyDescent="0.25">
      <c r="B97" s="6" t="s">
        <v>4</v>
      </c>
      <c r="C97">
        <v>1</v>
      </c>
    </row>
    <row r="98" spans="2:3" x14ac:dyDescent="0.25">
      <c r="B98" s="6" t="s">
        <v>3</v>
      </c>
      <c r="C98">
        <v>1</v>
      </c>
    </row>
    <row r="99" spans="2:3" x14ac:dyDescent="0.25">
      <c r="B99" s="6" t="s">
        <v>3</v>
      </c>
      <c r="C99">
        <v>1</v>
      </c>
    </row>
    <row r="100" spans="2:3" x14ac:dyDescent="0.25">
      <c r="B100" s="6" t="s">
        <v>3</v>
      </c>
      <c r="C100">
        <v>1</v>
      </c>
    </row>
    <row r="101" spans="2:3" x14ac:dyDescent="0.25">
      <c r="B101" s="6" t="s">
        <v>5</v>
      </c>
      <c r="C101">
        <v>1</v>
      </c>
    </row>
    <row r="102" spans="2:3" x14ac:dyDescent="0.25">
      <c r="B102" s="6" t="s">
        <v>5</v>
      </c>
      <c r="C102">
        <v>1</v>
      </c>
    </row>
    <row r="103" spans="2:3" x14ac:dyDescent="0.25">
      <c r="B103" s="6" t="s">
        <v>4</v>
      </c>
      <c r="C103">
        <v>1</v>
      </c>
    </row>
    <row r="104" spans="2:3" x14ac:dyDescent="0.25">
      <c r="B104" s="6" t="s">
        <v>4</v>
      </c>
      <c r="C104">
        <v>1</v>
      </c>
    </row>
    <row r="105" spans="2:3" x14ac:dyDescent="0.25">
      <c r="B105" s="6" t="s">
        <v>4</v>
      </c>
      <c r="C105">
        <v>1</v>
      </c>
    </row>
    <row r="106" spans="2:3" x14ac:dyDescent="0.25">
      <c r="B106" s="6" t="s">
        <v>4</v>
      </c>
      <c r="C106">
        <v>1</v>
      </c>
    </row>
    <row r="107" spans="2:3" x14ac:dyDescent="0.25">
      <c r="B107" s="6" t="s">
        <v>3</v>
      </c>
      <c r="C107">
        <v>1</v>
      </c>
    </row>
    <row r="108" spans="2:3" x14ac:dyDescent="0.25">
      <c r="B108" s="6" t="s">
        <v>3</v>
      </c>
      <c r="C108">
        <v>1</v>
      </c>
    </row>
    <row r="109" spans="2:3" x14ac:dyDescent="0.25">
      <c r="B109" s="6" t="s">
        <v>5</v>
      </c>
      <c r="C109">
        <v>1</v>
      </c>
    </row>
    <row r="110" spans="2:3" x14ac:dyDescent="0.25">
      <c r="B110" s="6" t="s">
        <v>4</v>
      </c>
      <c r="C110">
        <v>1</v>
      </c>
    </row>
    <row r="111" spans="2:3" x14ac:dyDescent="0.25">
      <c r="B111" s="6" t="s">
        <v>4</v>
      </c>
      <c r="C111">
        <v>1</v>
      </c>
    </row>
    <row r="112" spans="2:3" x14ac:dyDescent="0.25">
      <c r="B112" s="6" t="s">
        <v>5</v>
      </c>
      <c r="C112">
        <v>1</v>
      </c>
    </row>
    <row r="113" spans="2:3" x14ac:dyDescent="0.25">
      <c r="B113" s="6" t="s">
        <v>3</v>
      </c>
      <c r="C113">
        <v>1</v>
      </c>
    </row>
    <row r="114" spans="2:3" x14ac:dyDescent="0.25">
      <c r="B114" s="6" t="s">
        <v>4</v>
      </c>
      <c r="C114">
        <v>1</v>
      </c>
    </row>
    <row r="115" spans="2:3" x14ac:dyDescent="0.25">
      <c r="B115" s="6" t="s">
        <v>4</v>
      </c>
      <c r="C115">
        <v>1</v>
      </c>
    </row>
    <row r="116" spans="2:3" x14ac:dyDescent="0.25">
      <c r="B116" s="6" t="s">
        <v>5</v>
      </c>
      <c r="C116">
        <v>1</v>
      </c>
    </row>
    <row r="117" spans="2:3" x14ac:dyDescent="0.25">
      <c r="B117" s="6" t="s">
        <v>3</v>
      </c>
      <c r="C117">
        <v>1</v>
      </c>
    </row>
    <row r="118" spans="2:3" x14ac:dyDescent="0.25">
      <c r="B118" s="6" t="s">
        <v>3</v>
      </c>
      <c r="C118">
        <v>1</v>
      </c>
    </row>
    <row r="119" spans="2:3" x14ac:dyDescent="0.25">
      <c r="B119" s="6" t="s">
        <v>4</v>
      </c>
      <c r="C119">
        <v>1</v>
      </c>
    </row>
    <row r="120" spans="2:3" x14ac:dyDescent="0.25">
      <c r="B120" s="6" t="s">
        <v>4</v>
      </c>
      <c r="C120">
        <v>1</v>
      </c>
    </row>
    <row r="121" spans="2:3" x14ac:dyDescent="0.25">
      <c r="B121" s="6" t="s">
        <v>4</v>
      </c>
      <c r="C121">
        <v>1</v>
      </c>
    </row>
    <row r="122" spans="2:3" x14ac:dyDescent="0.25">
      <c r="B122" s="6" t="s">
        <v>4</v>
      </c>
      <c r="C122">
        <v>1</v>
      </c>
    </row>
    <row r="123" spans="2:3" x14ac:dyDescent="0.25">
      <c r="B123" s="6" t="s">
        <v>4</v>
      </c>
      <c r="C123">
        <v>1</v>
      </c>
    </row>
    <row r="124" spans="2:3" x14ac:dyDescent="0.25">
      <c r="B124" s="6" t="s">
        <v>5</v>
      </c>
      <c r="C124">
        <v>1</v>
      </c>
    </row>
    <row r="125" spans="2:3" x14ac:dyDescent="0.25">
      <c r="B125" s="6" t="s">
        <v>3</v>
      </c>
      <c r="C125">
        <v>1</v>
      </c>
    </row>
    <row r="126" spans="2:3" x14ac:dyDescent="0.25">
      <c r="B126" s="6" t="s">
        <v>3</v>
      </c>
      <c r="C126">
        <v>1</v>
      </c>
    </row>
    <row r="127" spans="2:3" x14ac:dyDescent="0.25">
      <c r="B127" s="6" t="s">
        <v>4</v>
      </c>
      <c r="C127">
        <v>1</v>
      </c>
    </row>
    <row r="128" spans="2:3" x14ac:dyDescent="0.25">
      <c r="B128" s="6" t="s">
        <v>4</v>
      </c>
      <c r="C128">
        <v>1</v>
      </c>
    </row>
    <row r="129" spans="2:3" x14ac:dyDescent="0.25">
      <c r="B129" s="6" t="s">
        <v>4</v>
      </c>
      <c r="C129">
        <v>1</v>
      </c>
    </row>
    <row r="130" spans="2:3" x14ac:dyDescent="0.25">
      <c r="B130" s="6" t="s">
        <v>5</v>
      </c>
      <c r="C130">
        <v>1</v>
      </c>
    </row>
    <row r="131" spans="2:3" x14ac:dyDescent="0.25">
      <c r="B131" s="6" t="s">
        <v>3</v>
      </c>
      <c r="C131">
        <v>1</v>
      </c>
    </row>
    <row r="132" spans="2:3" x14ac:dyDescent="0.25">
      <c r="B132" s="6" t="s">
        <v>5</v>
      </c>
      <c r="C132">
        <v>1</v>
      </c>
    </row>
    <row r="133" spans="2:3" x14ac:dyDescent="0.25">
      <c r="B133" s="6" t="s">
        <v>4</v>
      </c>
      <c r="C133">
        <v>1</v>
      </c>
    </row>
    <row r="134" spans="2:3" x14ac:dyDescent="0.25">
      <c r="B134" s="6" t="s">
        <v>3</v>
      </c>
      <c r="C134">
        <v>1</v>
      </c>
    </row>
    <row r="135" spans="2:3" x14ac:dyDescent="0.25">
      <c r="B135" s="6" t="s">
        <v>4</v>
      </c>
      <c r="C135">
        <v>1</v>
      </c>
    </row>
    <row r="136" spans="2:3" x14ac:dyDescent="0.25">
      <c r="B136" s="6" t="s">
        <v>5</v>
      </c>
      <c r="C136">
        <v>1</v>
      </c>
    </row>
    <row r="137" spans="2:3" x14ac:dyDescent="0.25">
      <c r="B137" s="6" t="s">
        <v>3</v>
      </c>
      <c r="C137">
        <v>1</v>
      </c>
    </row>
    <row r="138" spans="2:3" x14ac:dyDescent="0.25">
      <c r="B138" s="6" t="s">
        <v>3</v>
      </c>
      <c r="C138">
        <v>1</v>
      </c>
    </row>
    <row r="139" spans="2:3" x14ac:dyDescent="0.25">
      <c r="B139" s="6" t="s">
        <v>3</v>
      </c>
      <c r="C139">
        <v>1</v>
      </c>
    </row>
    <row r="140" spans="2:3" x14ac:dyDescent="0.25">
      <c r="B140" s="6" t="s">
        <v>4</v>
      </c>
      <c r="C140">
        <v>1</v>
      </c>
    </row>
    <row r="141" spans="2:3" x14ac:dyDescent="0.25">
      <c r="B141" s="6" t="s">
        <v>3</v>
      </c>
      <c r="C141">
        <v>1</v>
      </c>
    </row>
    <row r="142" spans="2:3" x14ac:dyDescent="0.25">
      <c r="B142" s="6" t="s">
        <v>5</v>
      </c>
      <c r="C142">
        <v>1</v>
      </c>
    </row>
    <row r="143" spans="2:3" x14ac:dyDescent="0.25">
      <c r="B143" s="6" t="s">
        <v>4</v>
      </c>
      <c r="C143">
        <v>1</v>
      </c>
    </row>
    <row r="144" spans="2:3" x14ac:dyDescent="0.25">
      <c r="B144" s="6" t="s">
        <v>5</v>
      </c>
      <c r="C144">
        <v>1</v>
      </c>
    </row>
    <row r="145" spans="2:3" x14ac:dyDescent="0.25">
      <c r="B145" s="6" t="s">
        <v>3</v>
      </c>
      <c r="C145">
        <v>1</v>
      </c>
    </row>
    <row r="146" spans="2:3" x14ac:dyDescent="0.25">
      <c r="B146" s="6" t="s">
        <v>5</v>
      </c>
      <c r="C146">
        <v>1</v>
      </c>
    </row>
    <row r="147" spans="2:3" x14ac:dyDescent="0.25">
      <c r="B147" s="6" t="s">
        <v>4</v>
      </c>
      <c r="C147">
        <v>1</v>
      </c>
    </row>
    <row r="148" spans="2:3" x14ac:dyDescent="0.25">
      <c r="B148" s="6" t="s">
        <v>5</v>
      </c>
      <c r="C148">
        <v>1</v>
      </c>
    </row>
    <row r="149" spans="2:3" x14ac:dyDescent="0.25">
      <c r="B149" s="6" t="s">
        <v>3</v>
      </c>
      <c r="C149">
        <v>1</v>
      </c>
    </row>
    <row r="150" spans="2:3" x14ac:dyDescent="0.25">
      <c r="B150" s="6" t="s">
        <v>4</v>
      </c>
      <c r="C150">
        <v>1</v>
      </c>
    </row>
    <row r="151" spans="2:3" x14ac:dyDescent="0.25">
      <c r="B151" s="6" t="s">
        <v>4</v>
      </c>
      <c r="C151">
        <v>1</v>
      </c>
    </row>
    <row r="152" spans="2:3" x14ac:dyDescent="0.25">
      <c r="B152" s="6" t="s">
        <v>4</v>
      </c>
      <c r="C152">
        <v>1</v>
      </c>
    </row>
    <row r="153" spans="2:3" x14ac:dyDescent="0.25">
      <c r="B153" s="6" t="s">
        <v>5</v>
      </c>
      <c r="C153">
        <v>1</v>
      </c>
    </row>
    <row r="154" spans="2:3" x14ac:dyDescent="0.25">
      <c r="B154" s="6" t="s">
        <v>3</v>
      </c>
      <c r="C154">
        <v>1</v>
      </c>
    </row>
    <row r="155" spans="2:3" x14ac:dyDescent="0.25">
      <c r="B155" s="6" t="s">
        <v>4</v>
      </c>
      <c r="C155">
        <v>1</v>
      </c>
    </row>
    <row r="156" spans="2:3" x14ac:dyDescent="0.25">
      <c r="B156" s="6" t="s">
        <v>4</v>
      </c>
      <c r="C156">
        <v>1</v>
      </c>
    </row>
    <row r="157" spans="2:3" x14ac:dyDescent="0.25">
      <c r="B157" s="6" t="s">
        <v>5</v>
      </c>
      <c r="C157">
        <v>1</v>
      </c>
    </row>
    <row r="158" spans="2:3" x14ac:dyDescent="0.25">
      <c r="B158" s="6" t="s">
        <v>3</v>
      </c>
      <c r="C158">
        <v>1</v>
      </c>
    </row>
    <row r="159" spans="2:3" x14ac:dyDescent="0.25">
      <c r="B159" s="6" t="s">
        <v>5</v>
      </c>
      <c r="C159">
        <v>1</v>
      </c>
    </row>
    <row r="160" spans="2:3" x14ac:dyDescent="0.25">
      <c r="B160" s="6" t="s">
        <v>3</v>
      </c>
      <c r="C160">
        <v>1</v>
      </c>
    </row>
    <row r="161" spans="2:3" x14ac:dyDescent="0.25">
      <c r="B161" s="6" t="s">
        <v>4</v>
      </c>
      <c r="C161">
        <v>1</v>
      </c>
    </row>
    <row r="162" spans="2:3" x14ac:dyDescent="0.25">
      <c r="B162" s="6" t="s">
        <v>4</v>
      </c>
      <c r="C162">
        <v>1</v>
      </c>
    </row>
    <row r="163" spans="2:3" x14ac:dyDescent="0.25">
      <c r="B163" s="6" t="s">
        <v>5</v>
      </c>
      <c r="C163">
        <v>1</v>
      </c>
    </row>
  </sheetData>
  <conditionalFormatting sqref="E13:G16">
    <cfRule type="expression" dxfId="3" priority="3">
      <formula>$E13="Total"</formula>
    </cfRule>
  </conditionalFormatting>
  <conditionalFormatting sqref="F18:G18 F20:G20">
    <cfRule type="expression" dxfId="2" priority="12">
      <formula>$E19="Total"</formula>
    </cfRule>
  </conditionalFormatting>
  <conditionalFormatting sqref="F19:G19">
    <cfRule type="expression" dxfId="1" priority="13">
      <formula>#REF!="Total"</formula>
    </cfRule>
  </conditionalFormatting>
  <conditionalFormatting sqref="L17:N19 L23:N26 L29:N32">
    <cfRule type="expression" dxfId="0" priority="14">
      <formula>$L17="Total"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0104BF-C399-4651-B7DC-6C48E5E1BA3F}">
  <sheetPr>
    <tabColor rgb="FF0000FF"/>
  </sheetPr>
  <dimension ref="B2:L27"/>
  <sheetViews>
    <sheetView tabSelected="1" workbookViewId="0">
      <selection activeCell="J3" sqref="J3"/>
    </sheetView>
  </sheetViews>
  <sheetFormatPr defaultRowHeight="15" x14ac:dyDescent="0.25"/>
  <cols>
    <col min="1" max="1" width="2.28515625" customWidth="1"/>
    <col min="2" max="2" width="22" customWidth="1"/>
    <col min="3" max="3" width="2.42578125" customWidth="1"/>
    <col min="4" max="4" width="22" customWidth="1"/>
    <col min="5" max="5" width="2.28515625" customWidth="1"/>
    <col min="6" max="6" width="22.42578125" bestFit="1" customWidth="1"/>
    <col min="7" max="7" width="6.7109375" bestFit="1" customWidth="1"/>
    <col min="8" max="8" width="8.28515625" bestFit="1" customWidth="1"/>
    <col min="9" max="9" width="2.28515625" customWidth="1"/>
    <col min="10" max="10" width="20.140625" bestFit="1" customWidth="1"/>
    <col min="11" max="11" width="8.5703125" customWidth="1"/>
    <col min="12" max="12" width="9.140625" customWidth="1"/>
  </cols>
  <sheetData>
    <row r="2" spans="2:12" x14ac:dyDescent="0.25">
      <c r="B2" s="1" t="s">
        <v>27</v>
      </c>
      <c r="C2" s="1"/>
      <c r="D2" s="1"/>
      <c r="F2" s="2" t="s">
        <v>27</v>
      </c>
      <c r="G2" t="s">
        <v>33</v>
      </c>
      <c r="H2" t="s">
        <v>34</v>
      </c>
      <c r="J2" s="38" t="s">
        <v>27</v>
      </c>
      <c r="K2" s="38" t="s">
        <v>7</v>
      </c>
      <c r="L2" s="38" t="s">
        <v>34</v>
      </c>
    </row>
    <row r="3" spans="2:12" x14ac:dyDescent="0.25">
      <c r="B3" t="s">
        <v>28</v>
      </c>
      <c r="D3" cm="1">
        <f t="array" ref="D3:D27">_xlfn.SEQUENCE(ROWS(fColas[Survey Favorite Colas]),,1,0)</f>
        <v>1</v>
      </c>
      <c r="F3" t="s">
        <v>31</v>
      </c>
      <c r="G3" s="35">
        <v>6</v>
      </c>
      <c r="H3" s="36">
        <v>0.24</v>
      </c>
      <c r="J3" s="6" t="str" cm="1">
        <f t="array" ref="J3:L8">_xlfn.DROP(_xlfn.GROUPBY(fColas[Survey Favorite Colas],_xlfn.ANCHORARRAY(D3),_xlfn.HSTACK(_xleta.COUNTA,_xleta.PERCENTOF)),1)</f>
        <v>Blocky Cola</v>
      </c>
      <c r="K3" s="6">
        <v>6</v>
      </c>
      <c r="L3" s="37">
        <v>0.24</v>
      </c>
    </row>
    <row r="4" spans="2:12" x14ac:dyDescent="0.25">
      <c r="B4" t="s">
        <v>29</v>
      </c>
      <c r="D4">
        <v>1</v>
      </c>
      <c r="F4" t="s">
        <v>28</v>
      </c>
      <c r="G4" s="35">
        <v>4</v>
      </c>
      <c r="H4" s="36">
        <v>0.16</v>
      </c>
      <c r="J4" s="6" t="str">
        <v>Coca Cola</v>
      </c>
      <c r="K4" s="6">
        <v>4</v>
      </c>
      <c r="L4" s="37">
        <v>0.16</v>
      </c>
    </row>
    <row r="5" spans="2:12" x14ac:dyDescent="0.25">
      <c r="B5" t="s">
        <v>28</v>
      </c>
      <c r="D5">
        <v>1</v>
      </c>
      <c r="F5" t="s">
        <v>30</v>
      </c>
      <c r="G5" s="35">
        <v>2</v>
      </c>
      <c r="H5" s="36">
        <v>0.08</v>
      </c>
      <c r="J5" s="6" t="str">
        <v>Pepsi</v>
      </c>
      <c r="K5" s="6">
        <v>2</v>
      </c>
      <c r="L5" s="37">
        <v>0.08</v>
      </c>
    </row>
    <row r="6" spans="2:12" x14ac:dyDescent="0.25">
      <c r="B6" t="s">
        <v>30</v>
      </c>
      <c r="D6">
        <v>1</v>
      </c>
      <c r="F6" t="s">
        <v>29</v>
      </c>
      <c r="G6" s="35">
        <v>5</v>
      </c>
      <c r="H6" s="36">
        <v>0.2</v>
      </c>
      <c r="J6" s="6" t="str">
        <v>RC Cola</v>
      </c>
      <c r="K6" s="6">
        <v>5</v>
      </c>
      <c r="L6" s="37">
        <v>0.2</v>
      </c>
    </row>
    <row r="7" spans="2:12" x14ac:dyDescent="0.25">
      <c r="B7" t="s">
        <v>29</v>
      </c>
      <c r="D7">
        <v>1</v>
      </c>
      <c r="F7" t="s">
        <v>32</v>
      </c>
      <c r="G7" s="35">
        <v>8</v>
      </c>
      <c r="H7" s="36">
        <v>0.32</v>
      </c>
      <c r="J7" s="6" t="str">
        <v>Shasta Cola</v>
      </c>
      <c r="K7" s="6">
        <v>8</v>
      </c>
      <c r="L7" s="37">
        <v>0.32</v>
      </c>
    </row>
    <row r="8" spans="2:12" x14ac:dyDescent="0.25">
      <c r="B8" t="s">
        <v>31</v>
      </c>
      <c r="D8">
        <v>1</v>
      </c>
      <c r="F8" t="s">
        <v>6</v>
      </c>
      <c r="G8" s="35">
        <v>25</v>
      </c>
      <c r="H8" s="36">
        <v>1</v>
      </c>
      <c r="J8" s="6" t="str">
        <v>Total</v>
      </c>
      <c r="K8" s="6">
        <v>25</v>
      </c>
      <c r="L8" s="37">
        <v>1</v>
      </c>
    </row>
    <row r="9" spans="2:12" x14ac:dyDescent="0.25">
      <c r="B9" t="s">
        <v>31</v>
      </c>
      <c r="D9">
        <v>1</v>
      </c>
    </row>
    <row r="10" spans="2:12" x14ac:dyDescent="0.25">
      <c r="B10" t="s">
        <v>31</v>
      </c>
      <c r="D10">
        <v>1</v>
      </c>
    </row>
    <row r="11" spans="2:12" x14ac:dyDescent="0.25">
      <c r="B11" t="s">
        <v>30</v>
      </c>
      <c r="D11">
        <v>1</v>
      </c>
    </row>
    <row r="12" spans="2:12" x14ac:dyDescent="0.25">
      <c r="B12" t="s">
        <v>28</v>
      </c>
      <c r="D12">
        <v>1</v>
      </c>
    </row>
    <row r="13" spans="2:12" x14ac:dyDescent="0.25">
      <c r="B13" t="s">
        <v>29</v>
      </c>
      <c r="D13">
        <v>1</v>
      </c>
    </row>
    <row r="14" spans="2:12" x14ac:dyDescent="0.25">
      <c r="B14" t="s">
        <v>32</v>
      </c>
      <c r="D14">
        <v>1</v>
      </c>
    </row>
    <row r="15" spans="2:12" x14ac:dyDescent="0.25">
      <c r="B15" t="s">
        <v>32</v>
      </c>
      <c r="D15">
        <v>1</v>
      </c>
    </row>
    <row r="16" spans="2:12" x14ac:dyDescent="0.25">
      <c r="B16" t="s">
        <v>32</v>
      </c>
      <c r="D16">
        <v>1</v>
      </c>
    </row>
    <row r="17" spans="2:4" x14ac:dyDescent="0.25">
      <c r="B17" t="s">
        <v>31</v>
      </c>
      <c r="D17">
        <v>1</v>
      </c>
    </row>
    <row r="18" spans="2:4" x14ac:dyDescent="0.25">
      <c r="B18" t="s">
        <v>32</v>
      </c>
      <c r="D18">
        <v>1</v>
      </c>
    </row>
    <row r="19" spans="2:4" x14ac:dyDescent="0.25">
      <c r="B19" t="s">
        <v>32</v>
      </c>
      <c r="D19">
        <v>1</v>
      </c>
    </row>
    <row r="20" spans="2:4" x14ac:dyDescent="0.25">
      <c r="B20" t="s">
        <v>31</v>
      </c>
      <c r="D20">
        <v>1</v>
      </c>
    </row>
    <row r="21" spans="2:4" x14ac:dyDescent="0.25">
      <c r="B21" t="s">
        <v>32</v>
      </c>
      <c r="D21">
        <v>1</v>
      </c>
    </row>
    <row r="22" spans="2:4" x14ac:dyDescent="0.25">
      <c r="B22" t="s">
        <v>29</v>
      </c>
      <c r="D22">
        <v>1</v>
      </c>
    </row>
    <row r="23" spans="2:4" x14ac:dyDescent="0.25">
      <c r="B23" t="s">
        <v>32</v>
      </c>
      <c r="D23">
        <v>1</v>
      </c>
    </row>
    <row r="24" spans="2:4" x14ac:dyDescent="0.25">
      <c r="B24" t="s">
        <v>32</v>
      </c>
      <c r="D24">
        <v>1</v>
      </c>
    </row>
    <row r="25" spans="2:4" x14ac:dyDescent="0.25">
      <c r="B25" t="s">
        <v>29</v>
      </c>
      <c r="D25">
        <v>1</v>
      </c>
    </row>
    <row r="26" spans="2:4" x14ac:dyDescent="0.25">
      <c r="B26" t="s">
        <v>28</v>
      </c>
      <c r="D26">
        <v>1</v>
      </c>
    </row>
    <row r="27" spans="2:4" x14ac:dyDescent="0.25">
      <c r="B27" t="s">
        <v>31</v>
      </c>
      <c r="D27">
        <v>1</v>
      </c>
    </row>
  </sheetData>
  <pageMargins left="0.7" right="0.7" top="0.75" bottom="0.75" header="0.3" footer="0.3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EB(10-2)</vt:lpstr>
      <vt:lpstr>EB10-GROUPBY</vt:lpstr>
      <vt:lpstr>HW(1)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Girvin, Michael</dc:creator>
  <cp:lastModifiedBy>Randy Hernandez</cp:lastModifiedBy>
  <dcterms:created xsi:type="dcterms:W3CDTF">2015-06-05T18:17:20Z</dcterms:created>
  <dcterms:modified xsi:type="dcterms:W3CDTF">2026-10-02T16:32:40Z</dcterms:modified>
</cp:coreProperties>
</file>